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83c45f534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30e2444a9e249ee"/>
    <x:sheet xmlns:r="http://schemas.openxmlformats.org/officeDocument/2006/relationships" name="Sources" sheetId="2" r:id="R2b1b7b8d43be4869"/>
    <x:sheet xmlns:r="http://schemas.openxmlformats.org/officeDocument/2006/relationships" name="Public Inputs" sheetId="3" r:id="R1165cfd096574a2c"/>
    <x:sheet xmlns:r="http://schemas.openxmlformats.org/officeDocument/2006/relationships" name="Field Inputs" sheetId="4" r:id="R6c3db8fb835a4ab3"/>
    <x:sheet xmlns:r="http://schemas.openxmlformats.org/officeDocument/2006/relationships" name="Market Sizing" sheetId="5" r:id="R76278dd42f024563"/>
    <x:sheet xmlns:r="http://schemas.openxmlformats.org/officeDocument/2006/relationships" name="Capture &amp; BE" sheetId="6" r:id="R7eeedb80ba3f4b21"/>
    <x:sheet xmlns:r="http://schemas.openxmlformats.org/officeDocument/2006/relationships" name="Assortment Gate" sheetId="7" r:id="Rf66a524b5ea24e84"/>
    <x:sheet xmlns:r="http://schemas.openxmlformats.org/officeDocument/2006/relationships" name="Defensibility" sheetId="8" r:id="R0fe428af309c4fcc"/>
    <x:sheet xmlns:r="http://schemas.openxmlformats.org/officeDocument/2006/relationships" name="Checks" sheetId="9" r:id="Rba36767986c5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%;[Red](0.0%);-"/>
    <x:numFmt numFmtId="202" formatCode="#,##0.0;[Red](#,##0.0);-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sz val="11"/>
      <x:color rgb="FF008000"/>
      <x:name val="Carlito"/>
    </x:font>
    <x:font>
      <x:sz val="11"/>
      <x:color rgb="FF0057B8"/>
      <x:name val="Carlito"/>
    </x:font>
    <x:font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0B7A75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0" fontId="5" fillId="5" borderId="1" xfId="0" applyNumberFormat="1" applyFont="1" applyFill="1" applyBorder="1"/>
    <x:xf numFmtId="201" fontId="5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0" fontId="6" fillId="6" borderId="1" xfId="0" applyNumberFormat="1" applyFont="1" applyFill="1" applyBorder="1" applyAlignment="1">
      <x:alignment vertical="top"/>
    </x:xf>
    <x:xf numFmtId="202" fontId="6" fillId="6" borderId="1" xfId="0" applyNumberFormat="1" applyFont="1" applyFill="1" applyBorder="1" applyAlignment="1">
      <x:alignment vertical="top"/>
    </x:xf>
    <x:xf numFmtId="201" fontId="6" fillId="6" borderId="1" xfId="0" applyNumberFormat="1" applyFont="1" applyFill="1" applyBorder="1" applyAlignment="1">
      <x:alignment vertical="top"/>
    </x:xf>
    <x:xf numFmtId="202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201" fontId="6" fillId="6" borderId="1" xfId="0" applyNumberFormat="1" applyFont="1" applyFill="1" applyBorder="1" applyAlignment="1">
      <x:alignment vertical="top" wrapText="1"/>
    </x:xf>
    <x:xf numFmtId="200" fontId="5" fillId="5" borderId="1" xfId="0" applyNumberFormat="1" applyFont="1" applyFill="1" applyBorder="1" applyAlignment="1">
      <x:alignment wrapText="1"/>
    </x:xf>
    <x:xf numFmtId="201" fontId="5" fillId="5" borderId="1" xfId="0" applyNumberFormat="1" applyFont="1" applyFill="1" applyBorder="1" applyAlignment="1">
      <x:alignment wrapText="1"/>
    </x:xf>
    <x:xf numFmtId="202" fontId="5" fillId="5" borderId="1" xfId="0" applyNumberFormat="1" applyFont="1" applyFill="1" applyBorder="1"/>
    <x:xf numFmtId="202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200" fontId="6" fillId="6" borderId="1" xfId="0" applyNumberFormat="1" applyFont="1" applyFill="1" applyBorder="1"/>
    <x:xf numFmtId="201" fontId="7" fillId="5" borderId="1" xfId="0" applyNumberFormat="1" applyFont="1" applyFill="1" applyBorder="1"/>
    <x:xf numFmtId="200" fontId="7" fillId="5" borderId="1" xfId="0" applyNumberFormat="1" applyFont="1" applyFill="1" applyBorder="1"/>
    <x:xf numFmtId="202" fontId="7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200" fontId="6" fillId="6" borderId="1" xfId="0" applyNumberFormat="1" applyFont="1" applyFill="1" applyBorder="1" applyAlignment="1">
      <x:alignment wrapText="1"/>
    </x:xf>
    <x:xf numFmtId="201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200" fontId="7" fillId="5" borderId="1" xfId="0" applyNumberFormat="1" applyFont="1" applyFill="1" applyBorder="1" applyAlignment="1">
      <x:alignment wrapText="1"/>
    </x:xf>
    <x:xf numFmtId="202" fontId="7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55E3B"/>
      </x:font>
      <x:fill>
        <x:patternFill patternType="solid">
          <x:bgColor rgb="FFE8F5E9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d9680a95a46cb" /><Relationship Type="http://schemas.openxmlformats.org/officeDocument/2006/relationships/theme" Target="/xl/theme/theme1.xml" Id="R2158b2bf4eea40e6" /><Relationship Type="http://schemas.openxmlformats.org/officeDocument/2006/relationships/sharedStrings" Target="/xl/sharedStrings.xml" Id="Re474ada371134f9d" /><Relationship Type="http://schemas.openxmlformats.org/officeDocument/2006/relationships/worksheet" Target="/xl/worksheets/sheet1.xml" Id="Rc30e2444a9e249ee" /><Relationship Type="http://schemas.openxmlformats.org/officeDocument/2006/relationships/worksheet" Target="/xl/worksheets/sheet2.xml" Id="R2b1b7b8d43be4869" /><Relationship Type="http://schemas.openxmlformats.org/officeDocument/2006/relationships/worksheet" Target="/xl/worksheets/sheet3.xml" Id="R1165cfd096574a2c" /><Relationship Type="http://schemas.openxmlformats.org/officeDocument/2006/relationships/worksheet" Target="/xl/worksheets/sheet4.xml" Id="R6c3db8fb835a4ab3" /><Relationship Type="http://schemas.openxmlformats.org/officeDocument/2006/relationships/worksheet" Target="/xl/worksheets/sheet5.xml" Id="R76278dd42f024563" /><Relationship Type="http://schemas.openxmlformats.org/officeDocument/2006/relationships/worksheet" Target="/xl/worksheets/sheet6.xml" Id="R7eeedb80ba3f4b21" /><Relationship Type="http://schemas.openxmlformats.org/officeDocument/2006/relationships/worksheet" Target="/xl/worksheets/sheet7.xml" Id="Rf66a524b5ea24e84" /><Relationship Type="http://schemas.openxmlformats.org/officeDocument/2006/relationships/worksheet" Target="/xl/worksheets/sheet8.xml" Id="R0fe428af309c4fcc" /><Relationship Type="http://schemas.openxmlformats.org/officeDocument/2006/relationships/worksheet" Target="/xl/worksheets/sheet9.xml" Id="Rba36767986c5462d" /><Relationship Type="http://schemas.microsoft.com/office/2017/10/relationships/person" Target="/xl/persons/person.xml" Id="Rcf2d9ccc07a8458c" /></Relationships>
</file>

<file path=xl/persons/person.xml><?xml version="1.0" encoding="utf-8"?>
<xltc:personList xmlns:xltc="http://schemas.microsoft.com/office/spreadsheetml/2018/threadedcomments">
  <xltc:person displayName="KAMLESH &amp; SONS" id="{91D48FC4-B52E-4488-B726-CF6F497C0FF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KAMLESH Flagship Commercial Evidence Model</x:v>
      </x:c>
    </x:row>
    <x:row r="2" ht="30" customHeight="1">
      <x:c r="A2" s="7" t="str">
        <x:v>Evidence-led market sizing, capture, contribution, assortment and defensibility. A model status is never a founder approval.</x:v>
      </x:c>
    </x:row>
    <x:row r="4">
      <x:c r="A4" s="10" t="str">
        <x:v>Workbook version</x:v>
      </x:c>
      <x:c r="B4" s="12" t="str">
        <x:v>0.1.0</x:v>
      </x:c>
    </x:row>
    <x:row r="5">
      <x:c r="A5" s="10" t="str">
        <x:v>As of</x:v>
      </x:c>
      <x:c r="B5" s="12" t="str">
        <x:v>2026-08-15</x:v>
      </x:c>
    </x:row>
    <x:row r="6">
      <x:c r="A6" s="10" t="str">
        <x:v>Geography</x:v>
      </x:c>
      <x:c r="B6" s="12" t="str">
        <x:v>Nepalgunj resident market plus separately evidenced regional and institutional demand</x:v>
      </x:c>
    </x:row>
    <x:row r="7">
      <x:c r="A7" s="10" t="str">
        <x:v>Currency</x:v>
      </x:c>
      <x:c r="B7" s="12" t="str">
        <x:v>NPR; whole rupees unless stated</x:v>
      </x:c>
    </x:row>
    <x:row r="8">
      <x:c r="A8" s="10" t="str">
        <x:v>Owner</x:v>
      </x:c>
      <x:c r="B8" s="12" t="str">
        <x:v>Founder until Research, Commercial and Finance owners are appointed</x:v>
      </x:c>
    </x:row>
    <x:row r="9">
      <x:c r="A9" s="10" t="str">
        <x:v>Scenario convention</x:v>
      </x:c>
      <x:c r="B9" s="12" t="str">
        <x:v>Low / Base / High; blank means evidence not yet received</x:v>
      </x:c>
    </x:row>
    <x:row r="10">
      <x:c r="A10" s="10" t="str">
        <x:v>Decision boundary</x:v>
      </x:c>
      <x:c r="B10" s="12" t="str">
        <x:v>READY FOR FOUNDER REVIEW is not APPROVED</x:v>
      </x:c>
    </x:row>
    <x:row r="12" ht="22" customHeight="1">
      <x:c r="A12" s="9" t="str">
        <x:v>Current model status and key outputs</x:v>
      </x:c>
      <x:c r="B12" s="9"/>
      <x:c r="C12" s="9"/>
      <x:c r="D12" s="9"/>
      <x:c r="E12" s="9"/>
      <x:c r="F12" s="9"/>
      <x:c r="G12" s="9"/>
      <x:c r="H12" s="9"/>
    </x:row>
    <x:row r="13">
      <x:c r="A13" s="14" t="str">
        <x:v>MODEL STATUS</x:v>
      </x:c>
      <x:c r="B13" s="17" t="str">
        <x:f>'Checks'!B4</x:f>
        <x:v>RESEARCH OPEN</x:v>
      </x:c>
    </x:row>
    <x:row r="14">
      <x:c r="A14" s="14" t="str">
        <x:v>Public phone scale check / month</x:v>
      </x:c>
      <x:c r="B14" s="18" t="n">
        <x:f>'Market Sizing'!C7/12</x:f>
        <x:v>1065.400437807352</x:v>
      </x:c>
    </x:row>
    <x:row r="15">
      <x:c r="A15" s="14" t="str">
        <x:v>Public laptop scale check / month</x:v>
      </x:c>
      <x:c r="B15" s="18" t="n">
        <x:f>'Market Sizing'!C8/12</x:f>
        <x:v>72.82618662726179</x:v>
      </x:c>
    </x:row>
    <x:row r="16">
      <x:c r="A16" s="14" t="str">
        <x:v>Triangulated local phone market / month — Base</x:v>
      </x:c>
      <x:c r="B16" s="18" t="str">
        <x:f>IF('Market Sizing'!C14="","",'Market Sizing'!C14)</x:f>
      </x:c>
    </x:row>
    <x:row r="17">
      <x:c r="A17" s="14" t="str">
        <x:v>Month-three phone target — planning hypothesis</x:v>
      </x:c>
      <x:c r="B17" s="18" t="n">
        <x:f>'Field Inputs'!E26</x:f>
        <x:v>70</x:v>
      </x:c>
    </x:row>
    <x:row r="18">
      <x:c r="A18" s="14" t="str">
        <x:v>Required share of triangulated market</x:v>
      </x:c>
      <x:c r="B18" s="19" t="str">
        <x:f>IF('Market Sizing'!C15="","",'Market Sizing'!C15)</x:f>
      </x:c>
    </x:row>
    <x:row r="19">
      <x:c r="A19" s="14" t="str">
        <x:v>Break-even phones / month — Base</x:v>
      </x:c>
      <x:c r="B19" s="18" t="str">
        <x:f>IF('Capture &amp; BE'!C18="","",'Capture &amp; BE'!C18)</x:f>
      </x:c>
    </x:row>
    <x:row r="20">
      <x:c r="A20" s="14" t="str">
        <x:v>Proposed opening handset cost</x:v>
      </x:c>
      <x:c r="B20" s="18" t="str">
        <x:f>IF(COUNTA('Assortment Gate'!A7:A66)=0,"",SUM('Assortment Gate'!U7:U66))</x:f>
      </x:c>
    </x:row>
    <x:row r="21">
      <x:c r="A21" s="14" t="str">
        <x:v>Differentiator candidates</x:v>
      </x:c>
      <x:c r="B21" s="17" t="n">
        <x:f>COUNTIF('Defensibility'!M7:M18,"DIFFERENTIATOR CANDIDATE")</x:f>
        <x:v>0</x:v>
      </x:c>
    </x:row>
    <x:row r="23" ht="22" customHeight="1">
      <x:c r="A23" s="9" t="str">
        <x:v>How to use</x:v>
      </x:c>
      <x:c r="B23" s="9"/>
      <x:c r="C23" s="9"/>
      <x:c r="D23" s="9"/>
      <x:c r="E23" s="9"/>
      <x:c r="F23" s="9"/>
      <x:c r="G23" s="9"/>
      <x:c r="H23" s="9"/>
    </x:row>
    <x:row r="24" ht="24" customHeight="1">
      <x:c r="A24" s="20" t="str">
        <x:v>1. Preserve Public Inputs as source-backed values; update only when a newer official source is logged.</x:v>
      </x:c>
      <x:c r="B24" s="20"/>
      <x:c r="C24" s="20"/>
      <x:c r="D24" s="20"/>
      <x:c r="E24" s="20"/>
      <x:c r="F24" s="20"/>
      <x:c r="G24" s="20"/>
      <x:c r="H24" s="20"/>
    </x:row>
    <x:row r="25" ht="24" customHeight="1">
      <x:c r="A25" s="20" t="str">
        <x:v>2. Load comparable field evidence into Low/Base/High cells. Blank is more honest than an invented number.</x:v>
      </x:c>
      <x:c r="B25" s="20"/>
      <x:c r="C25" s="20"/>
      <x:c r="D25" s="20"/>
      <x:c r="E25" s="20"/>
      <x:c r="F25" s="20"/>
      <x:c r="G25" s="20"/>
      <x:c r="H25" s="20"/>
    </x:row>
    <x:row r="26" ht="24" customHeight="1">
      <x:c r="A26" s="20" t="str">
        <x:v>3. Review each sizing method separately before using the optional triangulation comparison.</x:v>
      </x:c>
      <x:c r="B26" s="20"/>
      <x:c r="C26" s="20"/>
      <x:c r="D26" s="20"/>
      <x:c r="E26" s="20"/>
      <x:c r="F26" s="20"/>
      <x:c r="G26" s="20"/>
      <x:c r="H26" s="20"/>
    </x:row>
    <x:row r="27" ht="24" customHeight="1">
      <x:c r="A27" s="20" t="str">
        <x:v>4. Enter exact SKU evidence in Assortment Gate; no weighted score overrides authorisation, warranty, cash or demand gates.</x:v>
      </x:c>
      <x:c r="B27" s="20"/>
      <x:c r="C27" s="20"/>
      <x:c r="D27" s="20"/>
      <x:c r="E27" s="20"/>
      <x:c r="F27" s="20"/>
      <x:c r="G27" s="20"/>
      <x:c r="H27" s="20"/>
    </x:row>
    <x:row r="28" ht="24" customHeight="1">
      <x:c r="A28" s="20" t="str">
        <x:v>5. Score defensibility only after customer, competitor, contribution and repeatability evidence exists.</x:v>
      </x:c>
      <x:c r="B28" s="20"/>
      <x:c r="C28" s="20"/>
      <x:c r="D28" s="20"/>
      <x:c r="E28" s="20"/>
      <x:c r="F28" s="20"/>
      <x:c r="G28" s="20"/>
      <x:c r="H28" s="20"/>
    </x:row>
    <x:row r="29" ht="24" customHeight="1">
      <x:c r="A29" s="20" t="str">
        <x:v>6. Resolve every Checks item before founder review. Founder approval stays in the decision system, not this workbook.</x:v>
      </x:c>
      <x:c r="B29" s="20"/>
      <x:c r="C29" s="20"/>
      <x:c r="D29" s="20"/>
      <x:c r="E29" s="20"/>
      <x:c r="F29" s="20"/>
      <x:c r="G29" s="20"/>
      <x:c r="H29" s="20"/>
    </x:row>
    <x:row r="30" ht="24" customHeight="1">
      <x:c r="A30" s="20" t="str">
        <x:v>Legend: blue text/yellow fill = editable input; green text/grey fill = cross-sheet formula; black text/grey fill = local formula.</x:v>
      </x:c>
      <x:c r="B30" s="20"/>
      <x:c r="C30" s="20"/>
      <x:c r="D30" s="20"/>
      <x:c r="E30" s="20"/>
      <x:c r="F30" s="20"/>
      <x:c r="G30" s="20"/>
      <x:c r="H30" s="20"/>
    </x:row>
  </x:sheetData>
  <x:mergeCells>
    <x:mergeCell ref="A1:H1"/>
    <x:mergeCell ref="A2:H2"/>
    <x:mergeCell ref="A12:H12"/>
    <x:mergeCell ref="A23:H23"/>
    <x:mergeCell ref="A24:H24"/>
    <x:mergeCell ref="A25:H25"/>
    <x:mergeCell ref="A26:H26"/>
    <x:mergeCell ref="A27:H27"/>
    <x:mergeCell ref="A28:H28"/>
    <x:mergeCell ref="A29:H29"/>
    <x:mergeCell ref="A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28" hidden="0" customWidth="1"/>
    <x:col min="8" max="8" width="50" hidden="0" customWidth="1"/>
    <x:col min="9" max="9" width="38" hidden="0" customWidth="1"/>
    <x:col min="10" max="10" width="15" hidden="0" customWidth="1"/>
  </x:cols>
  <x:sheetData>
    <x:row r="1" ht="34" customHeight="1">
      <x:c r="A1" s="4" t="str">
        <x:v>Sources and Audit Log</x:v>
      </x:c>
    </x:row>
    <x:row r="2" ht="30" customHeight="1">
      <x:c r="A2" s="7" t="str">
        <x:v>Primary sources define public inputs. Local commercial evidence must be dated and attached before it changes a decision case.</x:v>
      </x:c>
    </x:row>
    <x:row r="5" ht="34" customHeight="1">
      <x:c r="A5" s="24" t="str">
        <x:v>Source ID</x:v>
      </x:c>
      <x:c r="B5" s="24" t="str">
        <x:v>Topic</x:v>
      </x:c>
      <x:c r="C5" s="24" t="str">
        <x:v>Value / use</x:v>
      </x:c>
      <x:c r="D5" s="24" t="str">
        <x:v>Units</x:v>
      </x:c>
      <x:c r="E5" s="24" t="str">
        <x:v>Period / as-of</x:v>
      </x:c>
      <x:c r="F5" s="24" t="str">
        <x:v>Evidence label</x:v>
      </x:c>
      <x:c r="G5" s="24" t="str">
        <x:v>Source name</x:v>
      </x:c>
      <x:c r="H5" s="24" t="str">
        <x:v>URL / repository ref</x:v>
      </x:c>
      <x:c r="I5" s="24" t="str">
        <x:v>Limitation</x:v>
      </x:c>
      <x:c r="J5" s="24" t="str">
        <x:v>Accessed</x:v>
      </x:c>
    </x:row>
    <x:row r="6" ht="52" customHeight="1">
      <x:c r="A6" s="12" t="str">
        <x:v>S001</x:v>
      </x:c>
      <x:c r="B6" s="12" t="str">
        <x:v>Nepal population</x:v>
      </x:c>
      <x:c r="C6" s="25" t="n">
        <x:v>29164578</x:v>
      </x:c>
      <x:c r="D6" s="12" t="str">
        <x:v>persons</x:v>
      </x:c>
      <x:c r="E6" s="12" t="str">
        <x:v>2021</x:v>
      </x:c>
      <x:c r="F6" s="12" t="str">
        <x:v>V</x:v>
      </x:c>
      <x:c r="G6" s="25" t="str">
        <x:v>NSO NPHC 2021 national report</x:v>
      </x:c>
      <x:c r="H6" s="25" t="str">
        <x:v>https://data.nsonepal.gov.np/dataset/a6e2cfed-dddd-4deb-8053-0b608094b47d/resource/e113b03f-ea64-488b-9f37-00e8ebe537fc/download/national-report_-national-population-and-housing-census-2021.pdf</x:v>
      </x:c>
      <x:c r="I6" s="25" t="str">
        <x:v>Population denominator is older than FY 2082/83 imports</x:v>
      </x:c>
      <x:c r="J6" s="25" t="str">
        <x:v>2026-08-15</x:v>
      </x:c>
    </x:row>
    <x:row r="7" ht="52" customHeight="1">
      <x:c r="A7" s="12" t="str">
        <x:v>S002</x:v>
      </x:c>
      <x:c r="B7" s="12" t="str">
        <x:v>Nepalgunj population and households</x:v>
      </x:c>
      <x:c r="C7" s="25" t="str">
        <x:v>164,444 people; 34,565 households</x:v>
      </x:c>
      <x:c r="D7" s="12" t="str">
        <x:v>count</x:v>
      </x:c>
      <x:c r="E7" s="12" t="str">
        <x:v>2021</x:v>
      </x:c>
      <x:c r="F7" s="12" t="str">
        <x:v>V</x:v>
      </x:c>
      <x:c r="G7" s="25" t="str">
        <x:v>Nepalgunj Sub-Metropolitan City / NSO census</x:v>
      </x:c>
      <x:c r="H7" s="25" t="str">
        <x:v>https://www.nepalgunjmun.gov.np/ne/node/140</x:v>
      </x:c>
      <x:c r="I7" s="25" t="str">
        <x:v>Resident scale; not retail demand</x:v>
      </x:c>
      <x:c r="J7" s="25" t="str">
        <x:v>2026-08-15</x:v>
      </x:c>
    </x:row>
    <x:row r="8" ht="52" customHeight="1">
      <x:c r="A8" s="12" t="str">
        <x:v>S003</x:v>
      </x:c>
      <x:c r="B8" s="12" t="str">
        <x:v>Household technology access</x:v>
      </x:c>
      <x:c r="C8" s="25" t="str">
        <x:v>25,535 smartphone; 6,347 computer/laptop; 16,335 home internet households</x:v>
      </x:c>
      <x:c r="D8" s="12" t="str">
        <x:v>households</x:v>
      </x:c>
      <x:c r="E8" s="12" t="str">
        <x:v>2021</x:v>
      </x:c>
      <x:c r="F8" s="12" t="str">
        <x:v>V</x:v>
      </x:c>
      <x:c r="G8" s="25" t="str">
        <x:v>NSO household facilities</x:v>
      </x:c>
      <x:c r="H8" s="25" t="str">
        <x:v>https://censusresults.nsonepal.gov.np/files/longform-dataset/Hhld10_HouseholdFacility.csv</x:v>
      </x:c>
      <x:c r="I8" s="25" t="str">
        <x:v>Installed-base indicator; not unit ownership or annual sales</x:v>
      </x:c>
      <x:c r="J8" s="25" t="str">
        <x:v>2026-08-15</x:v>
      </x:c>
    </x:row>
    <x:row r="9" ht="52" customHeight="1">
      <x:c r="A9" s="12" t="str">
        <x:v>S004</x:v>
      </x:c>
      <x:c r="B9" s="12" t="str">
        <x:v>National device imports</x:v>
      </x:c>
      <x:c r="C9" s="25" t="str">
        <x:v>2,267,419 smartphones; 154,991 laptops; 32,727 tablets</x:v>
      </x:c>
      <x:c r="D9" s="12" t="str">
        <x:v>units</x:v>
      </x:c>
      <x:c r="E9" s="12" t="str">
        <x:v>FY 2082/83</x:v>
      </x:c>
      <x:c r="F9" s="12" t="str">
        <x:v>V</x:v>
      </x:c>
      <x:c r="G9" s="25" t="str">
        <x:v>Department of Customs annual commodity workbook</x:v>
      </x:c>
      <x:c r="H9" s="25" t="str">
        <x:v>https://customs.gov.np/content/450/foreign-trade-statistics-came-208-83/</x:v>
      </x:c>
      <x:c r="I9" s="25" t="str">
        <x:v>Preliminary national imports; not local retail sell-through</x:v>
      </x:c>
      <x:c r="J9" s="25" t="str">
        <x:v>2026-08-15</x:v>
      </x:c>
    </x:row>
    <x:row r="10" ht="52" customHeight="1">
      <x:c r="A10" s="12" t="str">
        <x:v>S005</x:v>
      </x:c>
      <x:c r="B10" s="12" t="str">
        <x:v>National device import value</x:v>
      </x:c>
      <x:c r="C10" s="25" t="str">
        <x:v>NPR 48.69bn smartphones; NPR 11.14bn laptops</x:v>
      </x:c>
      <x:c r="D10" s="12" t="str">
        <x:v>NPR</x:v>
      </x:c>
      <x:c r="E10" s="12" t="str">
        <x:v>FY 2082/83</x:v>
      </x:c>
      <x:c r="F10" s="12" t="str">
        <x:v>V</x:v>
      </x:c>
      <x:c r="G10" s="25" t="str">
        <x:v>Department of Customs annual commodity workbook</x:v>
      </x:c>
      <x:c r="H10" s="25" t="str">
        <x:v>https://giwmscdnone.gov.np/media/files/FTS_Upto_Ashadh_82_83_gdfkmo9.xlsx</x:v>
      </x:c>
      <x:c r="I10" s="25" t="str">
        <x:v>Customs value before distribution/retail economics</x:v>
      </x:c>
      <x:c r="J10" s="25" t="str">
        <x:v>2026-08-15</x:v>
      </x:c>
    </x:row>
    <x:row r="11" ht="52" customHeight="1">
      <x:c r="A11" s="12" t="str">
        <x:v>S006</x:v>
      </x:c>
      <x:c r="B11" s="12" t="str">
        <x:v>Telecom context</x:v>
      </x:c>
      <x:c r="C11" s="25" t="str">
        <x:v>Current monthly MIS series</x:v>
      </x:c>
      <x:c r="D11" s="12" t="str">
        <x:v>subscriptions</x:v>
      </x:c>
      <x:c r="E11" s="12" t="str">
        <x:v>Ashadh 2083</x:v>
      </x:c>
      <x:c r="F11" s="12" t="str">
        <x:v>V</x:v>
      </x:c>
      <x:c r="G11" s="25" t="str">
        <x:v>Nepal Telecommunications Authority</x:v>
      </x:c>
      <x:c r="H11" s="25" t="str">
        <x:v>https://www.nta.gov.np/mispdf</x:v>
      </x:c>
      <x:c r="I11" s="25" t="str">
        <x:v>Subscriptions are not unique people/devices or retail purchases</x:v>
      </x:c>
      <x:c r="J11" s="25" t="str">
        <x:v>2026-08-15</x:v>
      </x:c>
    </x:row>
    <x:row r="12" ht="52" customHeight="1">
      <x:c r="A12" s="12" t="str">
        <x:v>S007</x:v>
      </x:c>
      <x:c r="B12" s="12" t="str">
        <x:v>Establishment frame</x:v>
      </x:c>
      <x:c r="C12" s="25" t="str">
        <x:v>National Economic Census resources</x:v>
      </x:c>
      <x:c r="D12" s="12" t="str">
        <x:v>establishments</x:v>
      </x:c>
      <x:c r="E12" s="12" t="str">
        <x:v>2018</x:v>
      </x:c>
      <x:c r="F12" s="12" t="str">
        <x:v>V</x:v>
      </x:c>
      <x:c r="G12" s="25" t="str">
        <x:v>National Statistics Office</x:v>
      </x:c>
      <x:c r="H12" s="25" t="str">
        <x:v>https://data.nsonepal.gov.np/en/dataset/nepal-economic-census-2018</x:v>
      </x:c>
      <x:c r="I12" s="25" t="str">
        <x:v>Old structural frame; cannot establish 2026 active phone/laptop retailers</x:v>
      </x:c>
      <x:c r="J12" s="25" t="str">
        <x:v>2026-08-15</x:v>
      </x:c>
    </x:row>
    <x:row r="13" ht="52" customHeight="1">
      <x:c r="A13" s="12" t="str">
        <x:v>S008</x:v>
      </x:c>
      <x:c r="B13" s="12" t="str">
        <x:v>Survey methods</x:v>
      </x:c>
      <x:c r="C13" s="25" t="str">
        <x:v>Pretest, transparent recruitment and disclosure</x:v>
      </x:c>
      <x:c r="D13" s="12" t="str">
        <x:v>method</x:v>
      </x:c>
      <x:c r="E13" s="12" t="str">
        <x:v>current</x:v>
      </x:c>
      <x:c r="F13" s="12" t="str">
        <x:v>V</x:v>
      </x:c>
      <x:c r="G13" s="25" t="str">
        <x:v>AAPOR</x:v>
      </x:c>
      <x:c r="H13" s="25" t="str">
        <x:v>https://aapor.org/standards-and-ethics/best-practices/</x:v>
      </x:c>
      <x:c r="I13" s="25" t="str">
        <x:v>Method standard does not make a purposive sample representative</x:v>
      </x:c>
      <x:c r="J13" s="25" t="str">
        <x:v>2026-08-15</x:v>
      </x:c>
    </x:row>
    <x:row r="14" ht="52" customHeight="1">
      <x:c r="A14" s="12" t="str">
        <x:v>S009</x:v>
      </x:c>
      <x:c r="B14" s="12" t="str">
        <x:v>Integrated research</x:v>
      </x:c>
      <x:c r="C14" s="25" t="str">
        <x:v>Canonical synthesis and gate definitions</x:v>
      </x:c>
      <x:c r="D14" s="12" t="str">
        <x:v>document</x:v>
      </x:c>
      <x:c r="E14" s="12" t="str">
        <x:v>2026-08-15</x:v>
      </x:c>
      <x:c r="F14" s="12" t="str">
        <x:v>H/E/V mixed</x:v>
      </x:c>
      <x:c r="G14" s="25" t="str">
        <x:v>RESEARCH-FLAGSHIP-001</x:v>
      </x:c>
      <x:c r="H14" s="25" t="str">
        <x:v>docs/research/integrated-market-size-assortment-and-flagship-defensibility.md</x:v>
      </x:c>
      <x:c r="I14" s="25" t="str">
        <x:v>Founder decisions remain separate</x:v>
      </x:c>
      <x:c r="J14" s="25" t="str">
        <x:v>2026-08-15</x:v>
      </x:c>
    </x:row>
    <x:row r="15" ht="52" customHeight="1">
      <x:c r="A15" s="12" t="str">
        <x:v>S010</x:v>
      </x:c>
      <x:c r="B15" s="12" t="str">
        <x:v>Field programme</x:v>
      </x:c>
      <x:c r="C15" s="25" t="str">
        <x:v>Comparable sell-through, customer, competitor, institutional and pilot evidence</x:v>
      </x:c>
      <x:c r="D15" s="12" t="str">
        <x:v>method</x:v>
      </x:c>
      <x:c r="E15" s="12" t="str">
        <x:v>2026-08-15</x:v>
      </x:c>
      <x:c r="F15" s="12" t="str">
        <x:v>Open</x:v>
      </x:c>
      <x:c r="G15" s="25" t="str">
        <x:v>EVD-NPJ-FLAGSHIP-004</x:v>
      </x:c>
      <x:c r="H15" s="25" t="str">
        <x:v>docs/evidence/nepalgunj-mobile-flagship/field-validation-and-research-marketing-plan.md</x:v>
      </x:c>
      <x:c r="I15" s="25" t="str">
        <x:v>No field item is complete merely because the method is documented</x:v>
      </x:c>
      <x:c r="J15" s="25" t="str">
        <x:v>2026-08-15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 ht="34" customHeight="1">
      <x:c r="A1" s="4" t="str">
        <x:v>Verified Public Inputs</x:v>
      </x:c>
    </x:row>
    <x:row r="2" ht="30" customHeight="1">
      <x:c r="A2" s="7" t="str">
        <x:v>Values below are source-backed context. Calculated proxies remain estimates and never become local demand facts.</x:v>
      </x:c>
    </x:row>
    <x:row r="5" ht="34" customHeight="1">
      <x:c r="A5" s="24" t="str">
        <x:v>Input ID</x:v>
      </x:c>
      <x:c r="B5" s="24" t="str">
        <x:v>Metric</x:v>
      </x:c>
      <x:c r="C5" s="24" t="str">
        <x:v>Value</x:v>
      </x:c>
      <x:c r="D5" s="24" t="str">
        <x:v>Unit</x:v>
      </x:c>
      <x:c r="E5" s="24" t="str">
        <x:v>Period</x:v>
      </x:c>
      <x:c r="F5" s="24" t="str">
        <x:v>Label</x:v>
      </x:c>
      <x:c r="G5" s="24" t="str">
        <x:v>Source ID</x:v>
      </x:c>
      <x:c r="H5" s="24" t="str">
        <x:v>Limitation</x:v>
      </x:c>
    </x:row>
    <x:row r="7" ht="22" customHeight="1">
      <x:c r="A7" s="12" t="str">
        <x:v>P001</x:v>
      </x:c>
      <x:c r="B7" s="12" t="str">
        <x:v>Nepal population</x:v>
      </x:c>
      <x:c r="C7" s="26" t="n">
        <x:v>29164578</x:v>
      </x:c>
      <x:c r="D7" s="12" t="str">
        <x:v>persons</x:v>
      </x:c>
      <x:c r="E7" s="12" t="str">
        <x:v>2021</x:v>
      </x:c>
      <x:c r="F7" s="12" t="str">
        <x:v>V</x:v>
      </x:c>
      <x:c r="G7" s="12" t="str">
        <x:v>S001</x:v>
      </x:c>
      <x:c r="H7" s="12" t="str">
        <x:v>Denominator is older than current imports</x:v>
      </x:c>
    </x:row>
    <x:row r="8" ht="22" customHeight="1">
      <x:c r="A8" s="12" t="str">
        <x:v>P002</x:v>
      </x:c>
      <x:c r="B8" s="12" t="str">
        <x:v>Nepalgunj population</x:v>
      </x:c>
      <x:c r="C8" s="26" t="n">
        <x:v>164444</x:v>
      </x:c>
      <x:c r="D8" s="12" t="str">
        <x:v>persons</x:v>
      </x:c>
      <x:c r="E8" s="12" t="str">
        <x:v>2021</x:v>
      </x:c>
      <x:c r="F8" s="12" t="str">
        <x:v>V</x:v>
      </x:c>
      <x:c r="G8" s="12" t="str">
        <x:v>S002</x:v>
      </x:c>
      <x:c r="H8" s="12" t="str">
        <x:v>Resident population; excludes evidenced catchment</x:v>
      </x:c>
    </x:row>
    <x:row r="9" ht="22" customHeight="1">
      <x:c r="A9" s="12" t="str">
        <x:v>P003</x:v>
      </x:c>
      <x:c r="B9" s="12" t="str">
        <x:v>Nepalgunj households</x:v>
      </x:c>
      <x:c r="C9" s="26" t="n">
        <x:v>34565</x:v>
      </x:c>
      <x:c r="D9" s="12" t="str">
        <x:v>households</x:v>
      </x:c>
      <x:c r="E9" s="12" t="str">
        <x:v>2021</x:v>
      </x:c>
      <x:c r="F9" s="12" t="str">
        <x:v>V</x:v>
      </x:c>
      <x:c r="G9" s="12" t="str">
        <x:v>S002</x:v>
      </x:c>
      <x:c r="H9" s="12" t="str">
        <x:v>Sampling frame; not buyer count</x:v>
      </x:c>
    </x:row>
    <x:row r="10" ht="22" customHeight="1">
      <x:c r="A10" s="12" t="str">
        <x:v>P004</x:v>
      </x:c>
      <x:c r="B10" s="12" t="str">
        <x:v>Households with smartphone</x:v>
      </x:c>
      <x:c r="C10" s="26" t="n">
        <x:v>25535</x:v>
      </x:c>
      <x:c r="D10" s="12" t="str">
        <x:v>households</x:v>
      </x:c>
      <x:c r="E10" s="12" t="str">
        <x:v>2021</x:v>
      </x:c>
      <x:c r="F10" s="12" t="str">
        <x:v>V</x:v>
      </x:c>
      <x:c r="G10" s="12" t="str">
        <x:v>S003</x:v>
      </x:c>
      <x:c r="H10" s="12" t="str">
        <x:v>At least one; not number of devices</x:v>
      </x:c>
    </x:row>
    <x:row r="11" ht="22" customHeight="1">
      <x:c r="A11" s="12" t="str">
        <x:v>P005</x:v>
      </x:c>
      <x:c r="B11" s="12" t="str">
        <x:v>Households with computer/laptop</x:v>
      </x:c>
      <x:c r="C11" s="26" t="n">
        <x:v>6347</x:v>
      </x:c>
      <x:c r="D11" s="12" t="str">
        <x:v>households</x:v>
      </x:c>
      <x:c r="E11" s="12" t="str">
        <x:v>2021</x:v>
      </x:c>
      <x:c r="F11" s="12" t="str">
        <x:v>V</x:v>
      </x:c>
      <x:c r="G11" s="12" t="str">
        <x:v>S003</x:v>
      </x:c>
      <x:c r="H11" s="12" t="str">
        <x:v>Installed base; not current demand</x:v>
      </x:c>
    </x:row>
    <x:row r="12" ht="22" customHeight="1">
      <x:c r="A12" s="12" t="str">
        <x:v>P006</x:v>
      </x:c>
      <x:c r="B12" s="12" t="str">
        <x:v>Households with home internet</x:v>
      </x:c>
      <x:c r="C12" s="26" t="n">
        <x:v>16335</x:v>
      </x:c>
      <x:c r="D12" s="12" t="str">
        <x:v>households</x:v>
      </x:c>
      <x:c r="E12" s="12" t="str">
        <x:v>2021</x:v>
      </x:c>
      <x:c r="F12" s="12" t="str">
        <x:v>V</x:v>
      </x:c>
      <x:c r="G12" s="12" t="str">
        <x:v>S003</x:v>
      </x:c>
      <x:c r="H12" s="12" t="str">
        <x:v>Access context; not device purchase</x:v>
      </x:c>
    </x:row>
    <x:row r="13" ht="22" customHeight="1">
      <x:c r="A13" s="12" t="str">
        <x:v>P007</x:v>
      </x:c>
      <x:c r="B13" s="12" t="str">
        <x:v>National smartphone imports</x:v>
      </x:c>
      <x:c r="C13" s="26" t="n">
        <x:v>2267419</x:v>
      </x:c>
      <x:c r="D13" s="12" t="str">
        <x:v>units</x:v>
      </x:c>
      <x:c r="E13" s="12" t="str">
        <x:v>FY 2082/83</x:v>
      </x:c>
      <x:c r="F13" s="12" t="str">
        <x:v>V</x:v>
      </x:c>
      <x:c r="G13" s="12" t="str">
        <x:v>S004</x:v>
      </x:c>
      <x:c r="H13" s="12" t="str">
        <x:v>Preliminary national imports</x:v>
      </x:c>
    </x:row>
    <x:row r="14" ht="22" customHeight="1">
      <x:c r="A14" s="12" t="str">
        <x:v>P008</x:v>
      </x:c>
      <x:c r="B14" s="12" t="str">
        <x:v>National laptop/notebook imports</x:v>
      </x:c>
      <x:c r="C14" s="26" t="n">
        <x:v>154991</x:v>
      </x:c>
      <x:c r="D14" s="12" t="str">
        <x:v>units</x:v>
      </x:c>
      <x:c r="E14" s="12" t="str">
        <x:v>FY 2082/83</x:v>
      </x:c>
      <x:c r="F14" s="12" t="str">
        <x:v>V</x:v>
      </x:c>
      <x:c r="G14" s="12" t="str">
        <x:v>S004</x:v>
      </x:c>
      <x:c r="H14" s="12" t="str">
        <x:v>Preliminary national imports</x:v>
      </x:c>
    </x:row>
    <x:row r="15" ht="22" customHeight="1">
      <x:c r="A15" s="12" t="str">
        <x:v>P009</x:v>
      </x:c>
      <x:c r="B15" s="12" t="str">
        <x:v>National tablet imports</x:v>
      </x:c>
      <x:c r="C15" s="26" t="n">
        <x:v>32727</x:v>
      </x:c>
      <x:c r="D15" s="12" t="str">
        <x:v>units</x:v>
      </x:c>
      <x:c r="E15" s="12" t="str">
        <x:v>FY 2082/83</x:v>
      </x:c>
      <x:c r="F15" s="12" t="str">
        <x:v>V</x:v>
      </x:c>
      <x:c r="G15" s="12" t="str">
        <x:v>S004</x:v>
      </x:c>
      <x:c r="H15" s="12" t="str">
        <x:v>Preliminary national imports</x:v>
      </x:c>
    </x:row>
    <x:row r="16" ht="22" customHeight="1">
      <x:c r="A16" s="12" t="str">
        <x:v>P010</x:v>
      </x:c>
      <x:c r="B16" s="12" t="str">
        <x:v>National smartphone import value</x:v>
      </x:c>
      <x:c r="C16" s="26" t="n">
        <x:v>48690000000</x:v>
      </x:c>
      <x:c r="D16" s="12" t="str">
        <x:v>NPR</x:v>
      </x:c>
      <x:c r="E16" s="12" t="str">
        <x:v>FY 2082/83</x:v>
      </x:c>
      <x:c r="F16" s="12" t="str">
        <x:v>V</x:v>
      </x:c>
      <x:c r="G16" s="12" t="str">
        <x:v>S005</x:v>
      </x:c>
      <x:c r="H16" s="12" t="str">
        <x:v>Customs value, not retail sales</x:v>
      </x:c>
    </x:row>
    <x:row r="17" ht="22" customHeight="1">
      <x:c r="A17" s="12" t="str">
        <x:v>P011</x:v>
      </x:c>
      <x:c r="B17" s="12" t="str">
        <x:v>National laptop import value</x:v>
      </x:c>
      <x:c r="C17" s="26" t="n">
        <x:v>11140000000</x:v>
      </x:c>
      <x:c r="D17" s="12" t="str">
        <x:v>NPR</x:v>
      </x:c>
      <x:c r="E17" s="12" t="str">
        <x:v>FY 2082/83</x:v>
      </x:c>
      <x:c r="F17" s="12" t="str">
        <x:v>V</x:v>
      </x:c>
      <x:c r="G17" s="12" t="str">
        <x:v>S005</x:v>
      </x:c>
      <x:c r="H17" s="12" t="str">
        <x:v>Customs value, not retail sales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4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2" hidden="0" customWidth="1"/>
    <x:col min="11" max="11" width="15" hidden="0" customWidth="1"/>
    <x:col min="12" max="12" width="15" hidden="0" customWidth="1"/>
    <x:col min="13" max="13" width="42" hidden="0" customWidth="1"/>
  </x:cols>
  <x:sheetData>
    <x:row r="1" ht="34" customHeight="1">
      <x:c r="A1" s="4" t="str">
        <x:v>Field and Planning Inputs</x:v>
      </x:c>
    </x:row>
    <x:row r="2" ht="30" customHeight="1">
      <x:c r="A2" s="7" t="str">
        <x:v>Blue inputs must carry a date, evidence label and reference. Planning hypotheses are not observed market evidence.</x:v>
      </x:c>
    </x:row>
    <x:row r="5" ht="34" customHeight="1">
      <x:c r="A5" s="24" t="str">
        <x:v>Input ID</x:v>
      </x:c>
      <x:c r="B5" s="24" t="str">
        <x:v>Workstream</x:v>
      </x:c>
      <x:c r="C5" s="24" t="str">
        <x:v>Metric</x:v>
      </x:c>
      <x:c r="D5" s="24" t="str">
        <x:v>Low</x:v>
      </x:c>
      <x:c r="E5" s="24" t="str">
        <x:v>Base</x:v>
      </x:c>
      <x:c r="F5" s="24" t="str">
        <x:v>High</x:v>
      </x:c>
      <x:c r="G5" s="24" t="str">
        <x:v>Unit</x:v>
      </x:c>
      <x:c r="H5" s="24" t="str">
        <x:v>Evidence label</x:v>
      </x:c>
      <x:c r="I5" s="24" t="str">
        <x:v>Period / as-of</x:v>
      </x:c>
      <x:c r="J5" s="24" t="str">
        <x:v>Source / reference</x:v>
      </x:c>
      <x:c r="K5" s="24" t="str">
        <x:v>Owner</x:v>
      </x:c>
      <x:c r="L5" s="24" t="str">
        <x:v>Status</x:v>
      </x:c>
      <x:c r="M5" s="24" t="str">
        <x:v>Notes</x:v>
      </x:c>
    </x:row>
    <x:row r="7">
      <x:c r="A7" s="25" t="str">
        <x:v>F001</x:v>
      </x:c>
      <x:c r="B7" s="25" t="str">
        <x:v>Local demand</x:v>
      </x:c>
      <x:c r="C7" s="25" t="str">
        <x:v>Comparable observed seller/distributor phone units — 30 days</x:v>
      </x:c>
      <x:c r="D7" s="31"/>
      <x:c r="E7" s="31"/>
      <x:c r="F7" s="31"/>
      <x:c r="G7" s="25" t="str">
        <x:v>units/month</x:v>
      </x:c>
      <x:c r="H7" s="32" t="str">
        <x:v>Open</x:v>
      </x:c>
      <x:c r="I7" s="32" t="str"/>
      <x:c r="J7" s="32" t="str"/>
      <x:c r="K7" s="32" t="str">
        <x:v>Research</x:v>
      </x:c>
      <x:c r="L7" s="32" t="str">
        <x:v>Open</x:v>
      </x:c>
      <x:c r="M7" s="32" t="str">
        <x:v>Deduplicate distributor-to-retailer units</x:v>
      </x:c>
    </x:row>
    <x:row r="8">
      <x:c r="A8" s="25" t="str">
        <x:v>F002</x:v>
      </x:c>
      <x:c r="B8" s="25" t="str">
        <x:v>Local demand</x:v>
      </x:c>
      <x:c r="C8" s="25" t="str">
        <x:v>Documented coverage share of in-scope local phone market</x:v>
      </x:c>
      <x:c r="D8" s="33"/>
      <x:c r="E8" s="33"/>
      <x:c r="F8" s="33"/>
      <x:c r="G8" s="25" t="str">
        <x:v>%</x:v>
      </x:c>
      <x:c r="H8" s="32" t="str">
        <x:v>Open</x:v>
      </x:c>
      <x:c r="I8" s="32" t="str"/>
      <x:c r="J8" s="32" t="str"/>
      <x:c r="K8" s="32" t="str">
        <x:v>Research</x:v>
      </x:c>
      <x:c r="L8" s="32" t="str">
        <x:v>Open</x:v>
      </x:c>
      <x:c r="M8" s="32" t="str">
        <x:v>A guess is not coverage evidence</x:v>
      </x:c>
    </x:row>
    <x:row r="9">
      <x:c r="A9" s="25" t="str">
        <x:v>F003</x:v>
      </x:c>
      <x:c r="B9" s="25" t="str">
        <x:v>Replacement</x:v>
      </x:c>
      <x:c r="C9" s="25" t="str">
        <x:v>Addressable smartphone users in defined geography</x:v>
      </x:c>
      <x:c r="D9" s="31"/>
      <x:c r="E9" s="31"/>
      <x:c r="F9" s="31"/>
      <x:c r="G9" s="25" t="str">
        <x:v>users</x:v>
      </x:c>
      <x:c r="H9" s="32" t="str">
        <x:v>Open</x:v>
      </x:c>
      <x:c r="I9" s="32" t="str"/>
      <x:c r="J9" s="32" t="str"/>
      <x:c r="K9" s="32" t="str">
        <x:v>Research</x:v>
      </x:c>
      <x:c r="L9" s="32" t="str">
        <x:v>Open</x:v>
      </x:c>
      <x:c r="M9" s="32" t="str">
        <x:v>Requires probability-oriented evidence for population estimate</x:v>
      </x:c>
    </x:row>
    <x:row r="10">
      <x:c r="A10" s="25" t="str">
        <x:v>F004</x:v>
      </x:c>
      <x:c r="B10" s="25" t="str">
        <x:v>Replacement</x:v>
      </x:c>
      <x:c r="C10" s="25" t="str">
        <x:v>Annual phone purchase/replacement rate</x:v>
      </x:c>
      <x:c r="D10" s="33"/>
      <x:c r="E10" s="33"/>
      <x:c r="F10" s="33"/>
      <x:c r="G10" s="25" t="str">
        <x:v>%/year</x:v>
      </x:c>
      <x:c r="H10" s="32" t="str">
        <x:v>Open</x:v>
      </x:c>
      <x:c r="I10" s="32" t="str"/>
      <x:c r="J10" s="32" t="str"/>
      <x:c r="K10" s="32" t="str">
        <x:v>Research</x:v>
      </x:c>
      <x:c r="L10" s="32" t="str">
        <x:v>Open</x:v>
      </x:c>
      <x:c r="M10" s="32" t="str">
        <x:v>Do not derive from household access</x:v>
      </x:c>
    </x:row>
    <x:row r="11">
      <x:c r="A11" s="25" t="str">
        <x:v>F005</x:v>
      </x:c>
      <x:c r="B11" s="25" t="str">
        <x:v>Channel</x:v>
      </x:c>
      <x:c r="C11" s="25" t="str">
        <x:v>In-scope official/authorised purchase share</x:v>
      </x:c>
      <x:c r="D11" s="33"/>
      <x:c r="E11" s="33"/>
      <x:c r="F11" s="33"/>
      <x:c r="G11" s="25" t="str">
        <x:v>%</x:v>
      </x:c>
      <x:c r="H11" s="32" t="str">
        <x:v>Open</x:v>
      </x:c>
      <x:c r="I11" s="32" t="str"/>
      <x:c r="J11" s="32" t="str"/>
      <x:c r="K11" s="32" t="str">
        <x:v>Research</x:v>
      </x:c>
      <x:c r="L11" s="32" t="str">
        <x:v>Open</x:v>
      </x:c>
      <x:c r="M11" s="32" t="str">
        <x:v>Local share unknown</x:v>
      </x:c>
    </x:row>
    <x:row r="12">
      <x:c r="A12" s="25" t="str">
        <x:v>F006</x:v>
      </x:c>
      <x:c r="B12" s="25" t="str">
        <x:v>Institutional</x:v>
      </x:c>
      <x:c r="C12" s="25" t="str">
        <x:v>Institutional phone units — annual, deduplicated</x:v>
      </x:c>
      <x:c r="D12" s="31"/>
      <x:c r="E12" s="31"/>
      <x:c r="F12" s="31"/>
      <x:c r="G12" s="25" t="str">
        <x:v>units/year</x:v>
      </x:c>
      <x:c r="H12" s="32" t="str">
        <x:v>Open</x:v>
      </x:c>
      <x:c r="I12" s="32" t="str"/>
      <x:c r="J12" s="32" t="str"/>
      <x:c r="K12" s="32" t="str">
        <x:v>Research</x:v>
      </x:c>
      <x:c r="L12" s="32" t="str">
        <x:v>Open</x:v>
      </x:c>
      <x:c r="M12" s="32" t="str">
        <x:v>Separate confirmed, planned and verbal</x:v>
      </x:c>
    </x:row>
    <x:row r="13">
      <x:c r="A13" s="25" t="str">
        <x:v>F007</x:v>
      </x:c>
      <x:c r="B13" s="25" t="str">
        <x:v>Catchment</x:v>
      </x:c>
      <x:c r="C13" s="25" t="str">
        <x:v>Regional nonresident phone units — annual, not already counted</x:v>
      </x:c>
      <x:c r="D13" s="31"/>
      <x:c r="E13" s="31"/>
      <x:c r="F13" s="31"/>
      <x:c r="G13" s="25" t="str">
        <x:v>units/year</x:v>
      </x:c>
      <x:c r="H13" s="32" t="str">
        <x:v>Open</x:v>
      </x:c>
      <x:c r="I13" s="32" t="str"/>
      <x:c r="J13" s="32" t="str"/>
      <x:c r="K13" s="32" t="str">
        <x:v>Research</x:v>
      </x:c>
      <x:c r="L13" s="32" t="str">
        <x:v>Open</x:v>
      </x:c>
      <x:c r="M13" s="32" t="str">
        <x:v>Origin-linked transactions only</x:v>
      </x:c>
    </x:row>
    <x:row r="14">
      <x:c r="A14" s="25" t="str">
        <x:v>F008</x:v>
      </x:c>
      <x:c r="B14" s="25" t="str">
        <x:v>Store funnel</x:v>
      </x:c>
      <x:c r="C14" s="25" t="str">
        <x:v>K&amp;S qualified phone visits — month three</x:v>
      </x:c>
      <x:c r="D14" s="31"/>
      <x:c r="E14" s="31"/>
      <x:c r="F14" s="31"/>
      <x:c r="G14" s="25" t="str">
        <x:v>visits/month</x:v>
      </x:c>
      <x:c r="H14" s="32" t="str">
        <x:v>Open</x:v>
      </x:c>
      <x:c r="I14" s="32" t="str"/>
      <x:c r="J14" s="32" t="str"/>
      <x:c r="K14" s="32" t="str">
        <x:v>Commercial</x:v>
      </x:c>
      <x:c r="L14" s="32" t="str">
        <x:v>Open</x:v>
      </x:c>
      <x:c r="M14" s="32" t="str">
        <x:v>Pilot/site evidence</x:v>
      </x:c>
    </x:row>
    <x:row r="15">
      <x:c r="A15" s="25" t="str">
        <x:v>F009</x:v>
      </x:c>
      <x:c r="B15" s="25" t="str">
        <x:v>Store funnel</x:v>
      </x:c>
      <x:c r="C15" s="25" t="str">
        <x:v>Qualified-visit conversion rate</x:v>
      </x:c>
      <x:c r="D15" s="33"/>
      <x:c r="E15" s="33"/>
      <x:c r="F15" s="33"/>
      <x:c r="G15" s="25" t="str">
        <x:v>%</x:v>
      </x:c>
      <x:c r="H15" s="32" t="str">
        <x:v>Open</x:v>
      </x:c>
      <x:c r="I15" s="32" t="str"/>
      <x:c r="J15" s="32" t="str"/>
      <x:c r="K15" s="32" t="str">
        <x:v>Commercial</x:v>
      </x:c>
      <x:c r="L15" s="32" t="str">
        <x:v>Open</x:v>
      </x:c>
      <x:c r="M15" s="32" t="str">
        <x:v>Completed sales divided by qualified visits</x:v>
      </x:c>
    </x:row>
    <x:row r="16">
      <x:c r="A16" s="25" t="str">
        <x:v>F010</x:v>
      </x:c>
      <x:c r="B16" s="25" t="str">
        <x:v>Contribution</x:v>
      </x:c>
      <x:c r="C16" s="25" t="str">
        <x:v>Average realized phone selling price</x:v>
      </x:c>
      <x:c r="D16" s="31"/>
      <x:c r="E16" s="31"/>
      <x:c r="F16" s="31"/>
      <x:c r="G16" s="25" t="str">
        <x:v>NPR/unit</x:v>
      </x:c>
      <x:c r="H16" s="32" t="str">
        <x:v>Open</x:v>
      </x:c>
      <x:c r="I16" s="32" t="str"/>
      <x:c r="J16" s="32" t="str"/>
      <x:c r="K16" s="32" t="str">
        <x:v>Finance</x:v>
      </x:c>
      <x:c r="L16" s="32" t="str">
        <x:v>Open</x:v>
      </x:c>
      <x:c r="M16" s="32" t="str">
        <x:v>Net of discount; VAT treatment consistent</x:v>
      </x:c>
    </x:row>
    <x:row r="17">
      <x:c r="A17" s="25" t="str">
        <x:v>F011</x:v>
      </x:c>
      <x:c r="B17" s="25" t="str">
        <x:v>Contribution</x:v>
      </x:c>
      <x:c r="C17" s="25" t="str">
        <x:v>Realized phone gross margin rate</x:v>
      </x:c>
      <x:c r="D17" s="33"/>
      <x:c r="E17" s="33"/>
      <x:c r="F17" s="33"/>
      <x:c r="G17" s="25" t="str">
        <x:v>%</x:v>
      </x:c>
      <x:c r="H17" s="32" t="str">
        <x:v>Open</x:v>
      </x:c>
      <x:c r="I17" s="32" t="str"/>
      <x:c r="J17" s="32" t="str"/>
      <x:c r="K17" s="32" t="str">
        <x:v>Finance</x:v>
      </x:c>
      <x:c r="L17" s="32" t="str">
        <x:v>Open</x:v>
      </x:c>
      <x:c r="M17" s="32" t="str">
        <x:v>After promotion obligations</x:v>
      </x:c>
    </x:row>
    <x:row r="18">
      <x:c r="A18" s="25" t="str">
        <x:v>F012</x:v>
      </x:c>
      <x:c r="B18" s="25" t="str">
        <x:v>Contribution</x:v>
      </x:c>
      <x:c r="C18" s="25" t="str">
        <x:v>Accessory attachment rate</x:v>
      </x:c>
      <x:c r="D18" s="33"/>
      <x:c r="E18" s="33"/>
      <x:c r="F18" s="33"/>
      <x:c r="G18" s="25" t="str">
        <x:v>% of phone sales</x:v>
      </x:c>
      <x:c r="H18" s="32" t="str">
        <x:v>Open</x:v>
      </x:c>
      <x:c r="I18" s="32" t="str"/>
      <x:c r="J18" s="32" t="str"/>
      <x:c r="K18" s="32" t="str">
        <x:v>Commercial</x:v>
      </x:c>
      <x:c r="L18" s="32" t="str">
        <x:v>Open</x:v>
      </x:c>
      <x:c r="M18" s="32" t="str">
        <x:v>Transaction evidence</x:v>
      </x:c>
    </x:row>
    <x:row r="19">
      <x:c r="A19" s="25" t="str">
        <x:v>F013</x:v>
      </x:c>
      <x:c r="B19" s="25" t="str">
        <x:v>Contribution</x:v>
      </x:c>
      <x:c r="C19" s="25" t="str">
        <x:v>Average attached-accessory revenue</x:v>
      </x:c>
      <x:c r="D19" s="31"/>
      <x:c r="E19" s="31"/>
      <x:c r="F19" s="31"/>
      <x:c r="G19" s="25" t="str">
        <x:v>NPR/attached sale</x:v>
      </x:c>
      <x:c r="H19" s="32" t="str">
        <x:v>Open</x:v>
      </x:c>
      <x:c r="I19" s="32" t="str"/>
      <x:c r="J19" s="32" t="str"/>
      <x:c r="K19" s="32" t="str">
        <x:v>Finance</x:v>
      </x:c>
      <x:c r="L19" s="32" t="str">
        <x:v>Open</x:v>
      </x:c>
      <x:c r="M19" s="32" t="str">
        <x:v>Net sales value</x:v>
      </x:c>
    </x:row>
    <x:row r="20">
      <x:c r="A20" s="25" t="str">
        <x:v>F014</x:v>
      </x:c>
      <x:c r="B20" s="25" t="str">
        <x:v>Contribution</x:v>
      </x:c>
      <x:c r="C20" s="25" t="str">
        <x:v>Realized accessory gross margin rate</x:v>
      </x:c>
      <x:c r="D20" s="33"/>
      <x:c r="E20" s="33"/>
      <x:c r="F20" s="33"/>
      <x:c r="G20" s="25" t="str">
        <x:v>%</x:v>
      </x:c>
      <x:c r="H20" s="32" t="str">
        <x:v>Open</x:v>
      </x:c>
      <x:c r="I20" s="32" t="str"/>
      <x:c r="J20" s="32" t="str"/>
      <x:c r="K20" s="32" t="str">
        <x:v>Finance</x:v>
      </x:c>
      <x:c r="L20" s="32" t="str">
        <x:v>Open</x:v>
      </x:c>
      <x:c r="M20" s="32" t="str">
        <x:v>After returns, installation and shrink</x:v>
      </x:c>
    </x:row>
    <x:row r="21">
      <x:c r="A21" s="25" t="str">
        <x:v>F015</x:v>
      </x:c>
      <x:c r="B21" s="25" t="str">
        <x:v>Service</x:v>
      </x:c>
      <x:c r="C21" s="25" t="str">
        <x:v>Ownership-support cases per month</x:v>
      </x:c>
      <x:c r="D21" s="31"/>
      <x:c r="E21" s="31"/>
      <x:c r="F21" s="31"/>
      <x:c r="G21" s="25" t="str">
        <x:v>cases/month</x:v>
      </x:c>
      <x:c r="H21" s="32" t="str">
        <x:v>Open</x:v>
      </x:c>
      <x:c r="I21" s="32" t="str"/>
      <x:c r="J21" s="32" t="str"/>
      <x:c r="K21" s="32" t="str">
        <x:v>Service</x:v>
      </x:c>
      <x:c r="L21" s="32" t="str">
        <x:v>Open</x:v>
      </x:c>
      <x:c r="M21" s="32" t="str">
        <x:v>Only completed cases</x:v>
      </x:c>
    </x:row>
    <x:row r="22">
      <x:c r="A22" s="25" t="str">
        <x:v>F016</x:v>
      </x:c>
      <x:c r="B22" s="25" t="str">
        <x:v>Service</x:v>
      </x:c>
      <x:c r="C22" s="25" t="str">
        <x:v>Contribution per completed ownership-support case</x:v>
      </x:c>
      <x:c r="D22" s="31"/>
      <x:c r="E22" s="31"/>
      <x:c r="F22" s="31"/>
      <x:c r="G22" s="25" t="str">
        <x:v>NPR/case</x:v>
      </x:c>
      <x:c r="H22" s="32" t="str">
        <x:v>Open</x:v>
      </x:c>
      <x:c r="I22" s="32" t="str"/>
      <x:c r="J22" s="32" t="str"/>
      <x:c r="K22" s="32" t="str">
        <x:v>Finance</x:v>
      </x:c>
      <x:c r="L22" s="32" t="str">
        <x:v>Open</x:v>
      </x:c>
      <x:c r="M22" s="32" t="str">
        <x:v>After partner, staff, courier and risk reserve</x:v>
      </x:c>
    </x:row>
    <x:row r="23">
      <x:c r="A23" s="25" t="str">
        <x:v>F017</x:v>
      </x:c>
      <x:c r="B23" s="25" t="str">
        <x:v>Fixed cost</x:v>
      </x:c>
      <x:c r="C23" s="25" t="str">
        <x:v>Fully loaded monthly operating cost</x:v>
      </x:c>
      <x:c r="D23" s="31"/>
      <x:c r="E23" s="31"/>
      <x:c r="F23" s="31"/>
      <x:c r="G23" s="25" t="str">
        <x:v>NPR/month</x:v>
      </x:c>
      <x:c r="H23" s="32" t="str">
        <x:v>Open</x:v>
      </x:c>
      <x:c r="I23" s="32" t="str"/>
      <x:c r="J23" s="32" t="str"/>
      <x:c r="K23" s="32" t="str">
        <x:v>Finance</x:v>
      </x:c>
      <x:c r="L23" s="32" t="str">
        <x:v>Open</x:v>
      </x:c>
      <x:c r="M23" s="32" t="str">
        <x:v>Rent, payroll, utilities, marketing and overhead</x:v>
      </x:c>
    </x:row>
    <x:row r="24">
      <x:c r="A24" s="25" t="str">
        <x:v>F018</x:v>
      </x:c>
      <x:c r="B24" s="25" t="str">
        <x:v>Finance</x:v>
      </x:c>
      <x:c r="C24" s="25" t="str">
        <x:v>Monthly interest and BG/finance cost</x:v>
      </x:c>
      <x:c r="D24" s="31"/>
      <x:c r="E24" s="31"/>
      <x:c r="F24" s="31"/>
      <x:c r="G24" s="25" t="str">
        <x:v>NPR/month</x:v>
      </x:c>
      <x:c r="H24" s="32" t="str">
        <x:v>Open</x:v>
      </x:c>
      <x:c r="I24" s="32" t="str"/>
      <x:c r="J24" s="32" t="str"/>
      <x:c r="K24" s="32" t="str">
        <x:v>Finance</x:v>
      </x:c>
      <x:c r="L24" s="32" t="str">
        <x:v>Open</x:v>
      </x:c>
      <x:c r="M24" s="32" t="str">
        <x:v>Sanction and actual utilization</x:v>
      </x:c>
    </x:row>
    <x:row r="25">
      <x:c r="A25" s="25" t="str">
        <x:v>F019</x:v>
      </x:c>
      <x:c r="B25" s="25" t="str">
        <x:v>Risk</x:v>
      </x:c>
      <x:c r="C25" s="25" t="str">
        <x:v>Monthly discount/warranty/return/shrink reserve</x:v>
      </x:c>
      <x:c r="D25" s="31"/>
      <x:c r="E25" s="31"/>
      <x:c r="F25" s="31"/>
      <x:c r="G25" s="25" t="str">
        <x:v>NPR/month</x:v>
      </x:c>
      <x:c r="H25" s="32" t="str">
        <x:v>Open</x:v>
      </x:c>
      <x:c r="I25" s="32" t="str"/>
      <x:c r="J25" s="32" t="str"/>
      <x:c r="K25" s="32" t="str">
        <x:v>Finance</x:v>
      </x:c>
      <x:c r="L25" s="32" t="str">
        <x:v>Open</x:v>
      </x:c>
      <x:c r="M25" s="32" t="str">
        <x:v>Evidence-backed reserve</x:v>
      </x:c>
    </x:row>
    <x:row r="26">
      <x:c r="A26" s="25" t="str">
        <x:v>F020</x:v>
      </x:c>
      <x:c r="B26" s="25" t="str">
        <x:v>Planning hypothesis</x:v>
      </x:c>
      <x:c r="C26" s="25" t="str">
        <x:v>Month-three phone target</x:v>
      </x:c>
      <x:c r="D26" s="31"/>
      <x:c r="E26" s="31" t="n">
        <x:v>70</x:v>
      </x:c>
      <x:c r="F26" s="31"/>
      <x:c r="G26" s="25" t="str">
        <x:v>units/month</x:v>
      </x:c>
      <x:c r="H26" s="32" t="str">
        <x:v>H</x:v>
      </x:c>
      <x:c r="I26" s="32" t="str">
        <x:v>2026 plan</x:v>
      </x:c>
      <x:c r="J26" s="32" t="str">
        <x:v>EVD-NPJ-FLAGSHIP-005</x:v>
      </x:c>
      <x:c r="K26" s="32" t="str">
        <x:v>Founder</x:v>
      </x:c>
      <x:c r="L26" s="32" t="str">
        <x:v>Unapproved</x:v>
      </x:c>
      <x:c r="M26" s="32" t="str">
        <x:v>Not a market finding</x:v>
      </x:c>
    </x:row>
    <x:row r="27">
      <x:c r="A27" s="25" t="str">
        <x:v>F021</x:v>
      </x:c>
      <x:c r="B27" s="25" t="str">
        <x:v>Planning hypothesis</x:v>
      </x:c>
      <x:c r="C27" s="25" t="str">
        <x:v>Year-one phone target</x:v>
      </x:c>
      <x:c r="D27" s="31"/>
      <x:c r="E27" s="31" t="n">
        <x:v>1070</x:v>
      </x:c>
      <x:c r="F27" s="31"/>
      <x:c r="G27" s="25" t="str">
        <x:v>units/year</x:v>
      </x:c>
      <x:c r="H27" s="32" t="str">
        <x:v>H</x:v>
      </x:c>
      <x:c r="I27" s="32" t="str">
        <x:v>2026 plan</x:v>
      </x:c>
      <x:c r="J27" s="32" t="str">
        <x:v>EVD-NPJ-FLAGSHIP-005</x:v>
      </x:c>
      <x:c r="K27" s="32" t="str">
        <x:v>Founder</x:v>
      </x:c>
      <x:c r="L27" s="32" t="str">
        <x:v>Unapproved</x:v>
      </x:c>
      <x:c r="M27" s="32" t="str">
        <x:v>Not a forecast</x:v>
      </x:c>
    </x:row>
    <x:row r="28">
      <x:c r="A28" s="25" t="str">
        <x:v>F022</x:v>
      </x:c>
      <x:c r="B28" s="25" t="str">
        <x:v>Inventory hypothesis</x:v>
      </x:c>
      <x:c r="C28" s="25" t="str">
        <x:v>Maximum opening days cover</x:v>
      </x:c>
      <x:c r="D28" s="31"/>
      <x:c r="E28" s="31" t="n">
        <x:v>45</x:v>
      </x:c>
      <x:c r="F28" s="31"/>
      <x:c r="G28" s="25" t="str">
        <x:v>days</x:v>
      </x:c>
      <x:c r="H28" s="32" t="str">
        <x:v>H</x:v>
      </x:c>
      <x:c r="I28" s="32" t="str">
        <x:v>2026 plan</x:v>
      </x:c>
      <x:c r="J28" s="32" t="str">
        <x:v>EVD-NPJ-FLAGSHIP-005</x:v>
      </x:c>
      <x:c r="K28" s="32" t="str">
        <x:v>Founder</x:v>
      </x:c>
      <x:c r="L28" s="32" t="str">
        <x:v>Unapproved</x:v>
      </x:c>
      <x:c r="M28" s="32" t="str">
        <x:v>Replace through live lead-time and volatility evidence</x:v>
      </x:c>
    </x:row>
    <x:row r="29">
      <x:c r="A29" s="25" t="str">
        <x:v>F023</x:v>
      </x:c>
      <x:c r="B29" s="25" t="str">
        <x:v>Inventory hypothesis</x:v>
      </x:c>
      <x:c r="C29" s="25" t="str">
        <x:v>Minimum 30-day sell-through for stocked candidate</x:v>
      </x:c>
      <x:c r="D29" s="33"/>
      <x:c r="E29" s="33" t="n">
        <x:v>0.7</x:v>
      </x:c>
      <x:c r="F29" s="33"/>
      <x:c r="G29" s="25" t="str">
        <x:v>%</x:v>
      </x:c>
      <x:c r="H29" s="32" t="str">
        <x:v>H</x:v>
      </x:c>
      <x:c r="I29" s="32" t="str">
        <x:v>2026 plan</x:v>
      </x:c>
      <x:c r="J29" s="32" t="str">
        <x:v>EVD-NPJ-FLAGSHIP-005</x:v>
      </x:c>
      <x:c r="K29" s="32" t="str">
        <x:v>Founder</x:v>
      </x:c>
      <x:c r="L29" s="32" t="str">
        <x:v>Unapproved</x:v>
      </x:c>
      <x:c r="M29" s="32" t="str">
        <x:v>Order-led rows use a different route</x:v>
      </x:c>
    </x:row>
    <x:row r="30">
      <x:c r="A30" s="25" t="str">
        <x:v>F024</x:v>
      </x:c>
      <x:c r="B30" s="25" t="str">
        <x:v>Concentration hypothesis</x:v>
      </x:c>
      <x:c r="C30" s="25" t="str">
        <x:v>Maximum one-brand handset capital share</x:v>
      </x:c>
      <x:c r="D30" s="33"/>
      <x:c r="E30" s="33" t="n">
        <x:v>0.3333333333</x:v>
      </x:c>
      <x:c r="F30" s="33"/>
      <x:c r="G30" s="25" t="str">
        <x:v>%</x:v>
      </x:c>
      <x:c r="H30" s="32" t="str">
        <x:v>H</x:v>
      </x:c>
      <x:c r="I30" s="32" t="str">
        <x:v>2026 plan</x:v>
      </x:c>
      <x:c r="J30" s="32" t="str">
        <x:v>EVD-NPJ-FLAGSHIP-005</x:v>
      </x:c>
      <x:c r="K30" s="32" t="str">
        <x:v>Founder</x:v>
      </x:c>
      <x:c r="L30" s="32" t="str">
        <x:v>Unapproved</x:v>
      </x:c>
      <x:c r="M30" s="32" t="str">
        <x:v>Portfolio guardrail</x:v>
      </x:c>
    </x:row>
    <x:row r="31">
      <x:c r="A31" s="25" t="str">
        <x:v>F025</x:v>
      </x:c>
      <x:c r="B31" s="25" t="str">
        <x:v>Concentration hypothesis</x:v>
      </x:c>
      <x:c r="C31" s="25" t="str">
        <x:v>Maximum handset capital above NPR 100,000</x:v>
      </x:c>
      <x:c r="D31" s="33"/>
      <x:c r="E31" s="33" t="n">
        <x:v>0.1</x:v>
      </x:c>
      <x:c r="F31" s="33"/>
      <x:c r="G31" s="25" t="str">
        <x:v>%</x:v>
      </x:c>
      <x:c r="H31" s="32" t="str">
        <x:v>H</x:v>
      </x:c>
      <x:c r="I31" s="32" t="str">
        <x:v>2026 plan</x:v>
      </x:c>
      <x:c r="J31" s="32" t="str">
        <x:v>EVD-NPJ-FLAGSHIP-005</x:v>
      </x:c>
      <x:c r="K31" s="32" t="str">
        <x:v>Founder</x:v>
      </x:c>
      <x:c r="L31" s="32" t="str">
        <x:v>Unapproved</x:v>
      </x:c>
      <x:c r="M31" s="32" t="str">
        <x:v>Premium exposure guardrail</x:v>
      </x:c>
    </x:row>
    <x:row r="32">
      <x:c r="A32" s="25" t="str">
        <x:v>F026</x:v>
      </x:c>
      <x:c r="B32" s="25" t="str">
        <x:v>Margin hypothesis</x:v>
      </x:c>
      <x:c r="C32" s="25" t="str">
        <x:v>Minimum realized handset gross margin</x:v>
      </x:c>
      <x:c r="D32" s="33"/>
      <x:c r="E32" s="33" t="n">
        <x:v>0.05</x:v>
      </x:c>
      <x:c r="F32" s="33"/>
      <x:c r="G32" s="25" t="str">
        <x:v>%</x:v>
      </x:c>
      <x:c r="H32" s="32" t="str">
        <x:v>H</x:v>
      </x:c>
      <x:c r="I32" s="32" t="str">
        <x:v>2026 plan</x:v>
      </x:c>
      <x:c r="J32" s="32" t="str">
        <x:v>EVD-NPJ-FLAGSHIP-001</x:v>
      </x:c>
      <x:c r="K32" s="32" t="str">
        <x:v>Founder</x:v>
      </x:c>
      <x:c r="L32" s="32" t="str">
        <x:v>Unapproved</x:v>
      </x:c>
      <x:c r="M32" s="32" t="str">
        <x:v>Must be tested after all obligations</x:v>
      </x:c>
    </x:row>
    <x:row r="33">
      <x:c r="A33" s="25" t="str">
        <x:v>F027</x:v>
      </x:c>
      <x:c r="B33" s="25" t="str">
        <x:v>Defensibility hypothesis</x:v>
      </x:c>
      <x:c r="C33" s="25" t="str">
        <x:v>Differentiator candidate total-score threshold</x:v>
      </x:c>
      <x:c r="D33" s="31"/>
      <x:c r="E33" s="31" t="n">
        <x:v>24</x:v>
      </x:c>
      <x:c r="F33" s="31"/>
      <x:c r="G33" s="25" t="str">
        <x:v>points/40</x:v>
      </x:c>
      <x:c r="H33" s="32" t="str">
        <x:v>H</x:v>
      </x:c>
      <x:c r="I33" s="32" t="str">
        <x:v>2026 model</x:v>
      </x:c>
      <x:c r="J33" s="32" t="str">
        <x:v>RESEARCH-FLAGSHIP-001</x:v>
      </x:c>
      <x:c r="K33" s="32" t="str">
        <x:v>Founder</x:v>
      </x:c>
      <x:c r="L33" s="32" t="str">
        <x:v>Unapproved</x:v>
      </x:c>
      <x:c r="M33" s="32" t="str">
        <x:v>No score overrides customer, contribution or risk gates</x:v>
      </x:c>
    </x:row>
  </x:sheetData>
  <x:mergeCells>
    <x:mergeCell ref="A1:M1"/>
    <x:mergeCell ref="A2:M2"/>
  </x:mergeCells>
  <x:dataValidations count="2">
    <x:dataValidation type="list" sqref="H7:H33">
      <x:formula1>"V,P,S,E,H,D,Open"</x:formula1>
    </x:dataValidation>
    <x:dataValidation type="list" sqref="L7:L33">
      <x:formula1>"Open,Received,Validated,Rejected,Expired,Unapproved"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58" hidden="0" customWidth="1"/>
  </x:cols>
  <x:sheetData>
    <x:row r="1" ht="34" customHeight="1">
      <x:c r="A1" s="4" t="str">
        <x:v>Market Sizing Triangulation</x:v>
      </x:c>
    </x:row>
    <x:row r="2" ht="30" customHeight="1">
      <x:c r="A2" s="7" t="str">
        <x:v>Public pro-rata results are reasonableness checks. A local market case requires at least two independent, evidence-backed methods.</x:v>
      </x:c>
    </x:row>
    <x:row r="5" ht="34" customHeight="1">
      <x:c r="A5" s="24" t="str">
        <x:v>Metric</x:v>
      </x:c>
      <x:c r="B5" s="24" t="str">
        <x:v>Low</x:v>
      </x:c>
      <x:c r="C5" s="24" t="str">
        <x:v>Base</x:v>
      </x:c>
      <x:c r="D5" s="24" t="str">
        <x:v>High</x:v>
      </x:c>
      <x:c r="E5" s="24" t="str">
        <x:v>Unit</x:v>
      </x:c>
      <x:c r="F5" s="24" t="str">
        <x:v>Interpretation / gate</x:v>
      </x:c>
    </x:row>
    <x:row r="7">
      <x:c r="A7" s="25" t="str">
        <x:v>Public phone pro-rata scale check — annual</x:v>
      </x:c>
      <x:c r="B7" s="34" t="n">
        <x:f>'Public Inputs'!$C$13*'Public Inputs'!$C$8/'Public Inputs'!$C$7</x:f>
        <x:v>12784.805253688224</x:v>
      </x:c>
      <x:c r="C7" s="34" t="n">
        <x:f>'Public Inputs'!$C$13*'Public Inputs'!$C$8/'Public Inputs'!$C$7</x:f>
        <x:v>12784.805253688224</x:v>
      </x:c>
      <x:c r="D7" s="34" t="n">
        <x:f>'Public Inputs'!$C$13*'Public Inputs'!$C$8/'Public Inputs'!$C$7</x:f>
        <x:v>12784.805253688224</x:v>
      </x:c>
      <x:c r="E7" s="25" t="str">
        <x:v>units/year</x:v>
      </x:c>
      <x:c r="F7" s="25" t="str">
        <x:v>E only: uniform per-capita allocation; not local TAM</x:v>
      </x:c>
    </x:row>
    <x:row r="8">
      <x:c r="A8" s="25" t="str">
        <x:v>Public laptop pro-rata scale check — annual</x:v>
      </x:c>
      <x:c r="B8" s="34" t="n">
        <x:f>'Public Inputs'!$C$14*'Public Inputs'!$C$8/'Public Inputs'!$C$7</x:f>
        <x:v>873.9142395271415</x:v>
      </x:c>
      <x:c r="C8" s="34" t="n">
        <x:f>'Public Inputs'!$C$14*'Public Inputs'!$C$8/'Public Inputs'!$C$7</x:f>
        <x:v>873.9142395271415</x:v>
      </x:c>
      <x:c r="D8" s="34" t="n">
        <x:f>'Public Inputs'!$C$14*'Public Inputs'!$C$8/'Public Inputs'!$C$7</x:f>
        <x:v>873.9142395271415</x:v>
      </x:c>
      <x:c r="E8" s="25" t="str">
        <x:v>units/year</x:v>
      </x:c>
      <x:c r="F8" s="25" t="str">
        <x:v>E only: weak local laptop proxy</x:v>
      </x:c>
    </x:row>
    <x:row r="9">
      <x:c r="A9" s="25" t="str"/>
      <x:c r="B9" s="34"/>
      <x:c r="C9" s="34"/>
      <x:c r="D9" s="34"/>
      <x:c r="E9" s="25" t="str"/>
      <x:c r="F9" s="25" t="str"/>
    </x:row>
    <x:row r="10">
      <x:c r="A10" s="25" t="str">
        <x:v>Method B: comparable sell-through coverage — annual phones</x:v>
      </x:c>
      <x:c r="B10" s="34" t="str">
        <x:f>IF(OR('Field Inputs'!D7="",'Field Inputs'!D8&lt;=0),"",'Field Inputs'!D7/'Field Inputs'!D8*12)</x:f>
      </x:c>
      <x:c r="C10" s="34" t="str">
        <x:f>IF(OR('Field Inputs'!E7="",'Field Inputs'!E8&lt;=0),"",'Field Inputs'!E7/'Field Inputs'!E8*12)</x:f>
      </x:c>
      <x:c r="D10" s="34" t="str">
        <x:f>IF(OR('Field Inputs'!F7="",'Field Inputs'!F8&lt;=0),"",'Field Inputs'!F7/'Field Inputs'!F8*12)</x:f>
      </x:c>
      <x:c r="E10" s="25" t="str">
        <x:v>units/year</x:v>
      </x:c>
      <x:c r="F10" s="25" t="str">
        <x:v>Requires comparable observed units and documented coverage</x:v>
      </x:c>
    </x:row>
    <x:row r="11">
      <x:c r="A11" s="25" t="str">
        <x:v>Method C: replacement + institutional + incremental catchment — annual phones</x:v>
      </x:c>
      <x:c r="B11" s="34" t="str">
        <x:f>IF(COUNT('Field Inputs'!D9:D13)&lt;5,"",'Field Inputs'!D9*'Field Inputs'!D10*'Field Inputs'!D11+'Field Inputs'!D12+'Field Inputs'!D13)</x:f>
      </x:c>
      <x:c r="C11" s="34" t="str">
        <x:f>IF(COUNT('Field Inputs'!E9:E13)&lt;5,"",'Field Inputs'!E9*'Field Inputs'!E10*'Field Inputs'!E11+'Field Inputs'!E12+'Field Inputs'!E13)</x:f>
      </x:c>
      <x:c r="D11" s="34" t="str">
        <x:f>IF(COUNT('Field Inputs'!F9:F13)&lt;5,"",'Field Inputs'!F9*'Field Inputs'!F10*'Field Inputs'!F11+'Field Inputs'!F12+'Field Inputs'!F13)</x:f>
      </x:c>
      <x:c r="E11" s="25" t="str">
        <x:v>units/year</x:v>
      </x:c>
      <x:c r="F11" s="25" t="str">
        <x:v>Requires addressable users, replacement rate, channel, institutional and deduplicated catchment evidence</x:v>
      </x:c>
    </x:row>
    <x:row r="12">
      <x:c r="A12" s="25" t="str"/>
      <x:c r="B12" s="34"/>
      <x:c r="C12" s="34"/>
      <x:c r="D12" s="34"/>
      <x:c r="E12" s="25" t="str"/>
      <x:c r="F12" s="25" t="str"/>
    </x:row>
    <x:row r="13">
      <x:c r="A13" s="25" t="str">
        <x:v>Optional triangulated comparison — annual phones</x:v>
      </x:c>
      <x:c r="B13" s="34" t="str">
        <x:f>IF(COUNT(B10:B11)&lt;2,"",MIN(B10:B11))</x:f>
      </x:c>
      <x:c r="C13" s="34" t="str">
        <x:f>IF(COUNT(C10:C11)&lt;2,"",AVERAGE(C10:C11))</x:f>
      </x:c>
      <x:c r="D13" s="34" t="str">
        <x:f>IF(COUNT(D10:D11)&lt;2,"",MAX(D10:D11))</x:f>
      </x:c>
      <x:c r="E13" s="25" t="str">
        <x:v>units/year</x:v>
      </x:c>
      <x:c r="F13" s="25" t="str">
        <x:v>Comparison convention only; investigate method disagreement</x:v>
      </x:c>
    </x:row>
    <x:row r="14">
      <x:c r="A14" s="25" t="str">
        <x:v>Optional triangulated comparison — monthly phones</x:v>
      </x:c>
      <x:c r="B14" s="34" t="str">
        <x:f>IF(B13="","",B13/12)</x:f>
      </x:c>
      <x:c r="C14" s="34" t="str">
        <x:f>IF(C13="","",C13/12)</x:f>
      </x:c>
      <x:c r="D14" s="34" t="str">
        <x:f>IF(D13="","",D13/12)</x:f>
      </x:c>
      <x:c r="E14" s="25" t="str">
        <x:v>units/month</x:v>
      </x:c>
      <x:c r="F14" s="25" t="str">
        <x:v>Use only when both methods are evidence-backed</x:v>
      </x:c>
    </x:row>
    <x:row r="15">
      <x:c r="A15" s="25" t="str">
        <x:v>Month-three target / triangulated monthly market</x:v>
      </x:c>
      <x:c r="B15" s="35" t="str">
        <x:f>IF(B14="","",'Field Inputs'!$E$26/B14)</x:f>
      </x:c>
      <x:c r="C15" s="35" t="str">
        <x:f>IF(C14="","",'Field Inputs'!$E$26/C14)</x:f>
      </x:c>
      <x:c r="D15" s="35" t="str">
        <x:f>IF(D14="","",'Field Inputs'!$E$26/D14)</x:f>
      </x:c>
      <x:c r="E15" s="25" t="str">
        <x:v>%</x:v>
      </x:c>
      <x:c r="F15" s="25" t="str">
        <x:v>Planning target share; not observed market share</x:v>
      </x:c>
    </x:row>
    <x:row r="16">
      <x:c r="A16" s="25" t="str">
        <x:v>Year-one target / triangulated annual market</x:v>
      </x:c>
      <x:c r="B16" s="35" t="str">
        <x:f>IF(B13="","",'Field Inputs'!$E$27/B13)</x:f>
      </x:c>
      <x:c r="C16" s="35" t="str">
        <x:f>IF(C13="","",'Field Inputs'!$E$27/C13)</x:f>
      </x:c>
      <x:c r="D16" s="35" t="str">
        <x:f>IF(D13="","",'Field Inputs'!$E$27/D13)</x:f>
      </x:c>
      <x:c r="E16" s="25" t="str">
        <x:v>%</x:v>
      </x:c>
      <x:c r="F16" s="25" t="str">
        <x:v>Planning target share; not observed market share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2" hidden="0" customWidth="1"/>
  </x:cols>
  <x:sheetData>
    <x:row r="1" ht="34" customHeight="1">
      <x:c r="A1" s="4" t="str">
        <x:v>Store Capture and Break-Even Bridge</x:v>
      </x:c>
    </x:row>
    <x:row r="2" ht="30" customHeight="1">
      <x:c r="A2" s="7" t="str">
        <x:v>Market, funnel and contribution must support the same volume. Blank outputs mean required field/commercial evidence is missing.</x:v>
      </x:c>
    </x:row>
    <x:row r="5" ht="34" customHeight="1">
      <x:c r="A5" s="24" t="str">
        <x:v>Metric</x:v>
      </x:c>
      <x:c r="B5" s="24" t="str">
        <x:v>Low</x:v>
      </x:c>
      <x:c r="C5" s="24" t="str">
        <x:v>Base</x:v>
      </x:c>
      <x:c r="D5" s="24" t="str">
        <x:v>High</x:v>
      </x:c>
      <x:c r="E5" s="24" t="str">
        <x:v>Unit</x:v>
      </x:c>
      <x:c r="F5" s="24" t="str">
        <x:v>Interpretation</x:v>
      </x:c>
    </x:row>
    <x:row r="7">
      <x:c r="A7" s="25" t="str">
        <x:v>Serviceable market units / month</x:v>
      </x:c>
      <x:c r="B7" s="37" t="str">
        <x:f>IF('Market Sizing'!B14="","",'Market Sizing'!B14)</x:f>
      </x:c>
      <x:c r="C7" s="37" t="str">
        <x:f>IF('Market Sizing'!C14="","",'Market Sizing'!C14)</x:f>
      </x:c>
      <x:c r="D7" s="37" t="str">
        <x:f>IF('Market Sizing'!D14="","",'Market Sizing'!D14)</x:f>
      </x:c>
      <x:c r="E7" s="25" t="str">
        <x:v>units/month</x:v>
      </x:c>
      <x:c r="F7" s="25" t="str">
        <x:v>From triangulated market; not available until two methods</x:v>
      </x:c>
    </x:row>
    <x:row r="8">
      <x:c r="A8" s="25" t="str">
        <x:v>Month-three target</x:v>
      </x:c>
      <x:c r="B8" s="37" t="n">
        <x:f>'Field Inputs'!$E$26</x:f>
        <x:v>70</x:v>
      </x:c>
      <x:c r="C8" s="37" t="n">
        <x:f>'Field Inputs'!$E$26</x:f>
        <x:v>70</x:v>
      </x:c>
      <x:c r="D8" s="37" t="n">
        <x:f>'Field Inputs'!$E$26</x:f>
        <x:v>70</x:v>
      </x:c>
      <x:c r="E8" s="25" t="str">
        <x:v>units/month</x:v>
      </x:c>
      <x:c r="F8" s="25" t="str">
        <x:v>Planning hypothesis</x:v>
      </x:c>
    </x:row>
    <x:row r="9">
      <x:c r="A9" s="25" t="str">
        <x:v>Funnel sales capacity</x:v>
      </x:c>
      <x:c r="B9" s="37" t="str">
        <x:f>IF(COUNT('Field Inputs'!D14:D15)&lt;2,"",'Field Inputs'!D14*'Field Inputs'!D15)</x:f>
      </x:c>
      <x:c r="C9" s="37" t="str">
        <x:f>IF(COUNT('Field Inputs'!E14:E15)&lt;2,"",'Field Inputs'!E14*'Field Inputs'!E15)</x:f>
      </x:c>
      <x:c r="D9" s="37" t="str">
        <x:f>IF(COUNT('Field Inputs'!F14:F15)&lt;2,"",'Field Inputs'!F14*'Field Inputs'!F15)</x:f>
      </x:c>
      <x:c r="E9" s="25" t="str">
        <x:v>units/month</x:v>
      </x:c>
      <x:c r="F9" s="25" t="str">
        <x:v>Qualified visits × observed conversion</x:v>
      </x:c>
    </x:row>
    <x:row r="10">
      <x:c r="A10" s="25" t="str">
        <x:v>Evidence-limited achievable units</x:v>
      </x:c>
      <x:c r="B10" s="37" t="str">
        <x:f>IF(COUNT(B7:B9)&lt;3,"",MIN(B7:B9))</x:f>
      </x:c>
      <x:c r="C10" s="37" t="str">
        <x:f>IF(COUNT(C7:C9)&lt;3,"",MIN(C7:C9))</x:f>
      </x:c>
      <x:c r="D10" s="37" t="str">
        <x:f>IF(COUNT(D7:D9)&lt;3,"",MIN(D7:D9))</x:f>
      </x:c>
      <x:c r="E10" s="25" t="str">
        <x:v>units/month</x:v>
      </x:c>
      <x:c r="F10" s="25" t="str">
        <x:v>Minimum of market, funnel and target</x:v>
      </x:c>
    </x:row>
    <x:row r="11">
      <x:c r="A11" s="25" t="str"/>
      <x:c r="B11" s="38"/>
      <x:c r="C11" s="38"/>
      <x:c r="D11" s="38"/>
      <x:c r="E11" s="25" t="str"/>
      <x:c r="F11" s="25" t="str"/>
    </x:row>
    <x:row r="12">
      <x:c r="A12" s="25" t="str">
        <x:v>Average phone selling price</x:v>
      </x:c>
      <x:c r="B12" s="34" t="str">
        <x:f>IF('Field Inputs'!D16="","",'Field Inputs'!D16)</x:f>
      </x:c>
      <x:c r="C12" s="34" t="str">
        <x:f>IF('Field Inputs'!E16="","",'Field Inputs'!E16)</x:f>
      </x:c>
      <x:c r="D12" s="34" t="str">
        <x:f>IF('Field Inputs'!F16="","",'Field Inputs'!F16)</x:f>
      </x:c>
      <x:c r="E12" s="25" t="str">
        <x:v>NPR/unit</x:v>
      </x:c>
      <x:c r="F12" s="25" t="str">
        <x:v>Realized net selling price</x:v>
      </x:c>
    </x:row>
    <x:row r="13">
      <x:c r="A13" s="25" t="str">
        <x:v>Phone gross contribution / unit</x:v>
      </x:c>
      <x:c r="B13" s="34" t="str">
        <x:f>IF(COUNT('Field Inputs'!D16:D17)&lt;2,"",'Field Inputs'!D16*'Field Inputs'!D17)</x:f>
      </x:c>
      <x:c r="C13" s="34" t="str">
        <x:f>IF(COUNT('Field Inputs'!E16:E17)&lt;2,"",'Field Inputs'!E16*'Field Inputs'!E17)</x:f>
      </x:c>
      <x:c r="D13" s="34" t="str">
        <x:f>IF(COUNT('Field Inputs'!F16:F17)&lt;2,"",'Field Inputs'!F16*'Field Inputs'!F17)</x:f>
      </x:c>
      <x:c r="E13" s="25" t="str">
        <x:v>NPR/unit</x:v>
      </x:c>
      <x:c r="F13" s="25" t="str">
        <x:v>ASP × realized phone gross margin</x:v>
      </x:c>
    </x:row>
    <x:row r="14">
      <x:c r="A14" s="25" t="str">
        <x:v>Accessory contribution / phone sale</x:v>
      </x:c>
      <x:c r="B14" s="34" t="str">
        <x:f>IF(COUNT('Field Inputs'!D18:D20)&lt;3,"",'Field Inputs'!D18*'Field Inputs'!D19*'Field Inputs'!D20)</x:f>
      </x:c>
      <x:c r="C14" s="34" t="str">
        <x:f>IF(COUNT('Field Inputs'!E18:E20)&lt;3,"",'Field Inputs'!E18*'Field Inputs'!E19*'Field Inputs'!E20)</x:f>
      </x:c>
      <x:c r="D14" s="34" t="str">
        <x:f>IF(COUNT('Field Inputs'!F18:F20)&lt;3,"",'Field Inputs'!F18*'Field Inputs'!F19*'Field Inputs'!F20)</x:f>
      </x:c>
      <x:c r="E14" s="25" t="str">
        <x:v>NPR/phone</x:v>
      </x:c>
      <x:c r="F14" s="25" t="str">
        <x:v>Attachment × attached revenue × realized margin</x:v>
      </x:c>
    </x:row>
    <x:row r="15">
      <x:c r="A15" s="25" t="str">
        <x:v>Total variable contribution / phone sale</x:v>
      </x:c>
      <x:c r="B15" s="34" t="str">
        <x:f>IF(COUNT(B13:B14)&lt;2,"",SUM(B13:B14))</x:f>
      </x:c>
      <x:c r="C15" s="34" t="str">
        <x:f>IF(COUNT(C13:C14)&lt;2,"",SUM(C13:C14))</x:f>
      </x:c>
      <x:c r="D15" s="34" t="str">
        <x:f>IF(COUNT(D13:D14)&lt;2,"",SUM(D13:D14))</x:f>
      </x:c>
      <x:c r="E15" s="25" t="str">
        <x:v>NPR/phone</x:v>
      </x:c>
      <x:c r="F15" s="25" t="str">
        <x:v>Phone plus accessory contribution</x:v>
      </x:c>
    </x:row>
    <x:row r="16">
      <x:c r="A16" s="25" t="str">
        <x:v>Ownership-support contribution / month</x:v>
      </x:c>
      <x:c r="B16" s="34" t="str">
        <x:f>IF(COUNT('Field Inputs'!D21:D22)&lt;2,"",'Field Inputs'!D21*'Field Inputs'!D22)</x:f>
      </x:c>
      <x:c r="C16" s="34" t="str">
        <x:f>IF(COUNT('Field Inputs'!E21:E22)&lt;2,"",'Field Inputs'!E21*'Field Inputs'!E22)</x:f>
      </x:c>
      <x:c r="D16" s="34" t="str">
        <x:f>IF(COUNT('Field Inputs'!F21:F22)&lt;2,"",'Field Inputs'!F21*'Field Inputs'!F22)</x:f>
      </x:c>
      <x:c r="E16" s="25" t="str">
        <x:v>NPR/month</x:v>
      </x:c>
      <x:c r="F16" s="25" t="str">
        <x:v>Completed cases × contribution/case</x:v>
      </x:c>
    </x:row>
    <x:row r="17">
      <x:c r="A17" s="25" t="str">
        <x:v>Fixed + finance + risk cost / month</x:v>
      </x:c>
      <x:c r="B17" s="34" t="str">
        <x:f>IF(COUNT('Field Inputs'!D23:D25)&lt;3,"",SUM('Field Inputs'!D23:D25))</x:f>
      </x:c>
      <x:c r="C17" s="34" t="str">
        <x:f>IF(COUNT('Field Inputs'!E23:E25)&lt;3,"",SUM('Field Inputs'!E23:E25))</x:f>
      </x:c>
      <x:c r="D17" s="34" t="str">
        <x:f>IF(COUNT('Field Inputs'!F23:F25)&lt;3,"",SUM('Field Inputs'!F23:F25))</x:f>
      </x:c>
      <x:c r="E17" s="25" t="str">
        <x:v>NPR/month</x:v>
      </x:c>
      <x:c r="F17" s="25" t="str">
        <x:v>Fully loaded cost plus finance and risk reserve</x:v>
      </x:c>
    </x:row>
    <x:row r="18">
      <x:c r="A18" s="25" t="str">
        <x:v>Break-even phones / month</x:v>
      </x:c>
      <x:c r="B18" s="34" t="str">
        <x:f>IF(OR(B15&lt;=0,B17="",B16=""),"",MAX(0,(B17-B16)/B15))</x:f>
      </x:c>
      <x:c r="C18" s="34" t="str">
        <x:f>IF(OR(C15&lt;=0,C17="",C16=""),"",MAX(0,(C17-C16)/C15))</x:f>
      </x:c>
      <x:c r="D18" s="34" t="str">
        <x:f>IF(OR(D15&lt;=0,D17="",D16=""),"",MAX(0,(D17-D16)/D15))</x:f>
      </x:c>
      <x:c r="E18" s="25" t="str">
        <x:v>units/month</x:v>
      </x:c>
      <x:c r="F18" s="25" t="str">
        <x:v>Contribution-based requirement</x:v>
      </x:c>
    </x:row>
    <x:row r="19">
      <x:c r="A19" s="25" t="str">
        <x:v>Operating contribution at achievable units</x:v>
      </x:c>
      <x:c r="B19" s="34" t="str">
        <x:f>IF(COUNT(B10,B15:B17)&lt;4,"",B10*B15+B16-B17)</x:f>
      </x:c>
      <x:c r="C19" s="34" t="str">
        <x:f>IF(COUNT(C10,C15:C17)&lt;4,"",C10*C15+C16-C17)</x:f>
      </x:c>
      <x:c r="D19" s="34" t="str">
        <x:f>IF(COUNT(D10,D15:D17)&lt;4,"",D10*D15+D16-D17)</x:f>
      </x:c>
      <x:c r="E19" s="25" t="str">
        <x:v>NPR/month</x:v>
      </x:c>
      <x:c r="F19" s="25" t="str">
        <x:v>Before tax and principal repayment unless loaded in inputs</x:v>
      </x:c>
    </x:row>
    <x:row r="20">
      <x:c r="A20" s="25" t="str">
        <x:v>Unit headroom over break-even</x:v>
      </x:c>
      <x:c r="B20" s="34" t="str">
        <x:f>IF(COUNT(B10,B18)&lt;2,"",B10-B18)</x:f>
      </x:c>
      <x:c r="C20" s="34" t="str">
        <x:f>IF(COUNT(C10,C18)&lt;2,"",C10-C18)</x:f>
      </x:c>
      <x:c r="D20" s="34" t="str">
        <x:f>IF(COUNT(D10,D18)&lt;2,"",D10-D18)</x:f>
      </x:c>
      <x:c r="E20" s="25" t="str">
        <x:v>units/month</x:v>
      </x:c>
      <x:c r="F20" s="25" t="str">
        <x:v>Must be nonnegative in approved downside case</x:v>
      </x:c>
    </x:row>
    <x:row r="21">
      <x:c r="A21" s="25" t="str">
        <x:v>Scenario status</x:v>
      </x:c>
      <x:c r="B21" s="38" t="str">
        <x:f>IF(B20="","INPUT REQUIRED",IF(B20&gt;=0,"EVIDENCE CASE COVERS COST","INSUFFICIENT"))</x:f>
        <x:v>INPUT REQUIRED</x:v>
      </x:c>
      <x:c r="C21" s="38" t="str">
        <x:f>IF(C20="","INPUT REQUIRED",IF(C20&gt;=0,"EVIDENCE CASE COVERS COST","INSUFFICIENT"))</x:f>
        <x:v>INPUT REQUIRED</x:v>
      </x:c>
      <x:c r="D21" s="38" t="str">
        <x:f>IF(D20="","INPUT REQUIRED",IF(D20&gt;=0,"EVIDENCE CASE COVERS COST","INSUFFICIENT"))</x:f>
        <x:v>INPUT REQUIRED</x:v>
      </x:c>
      <x:c r="E21" s="25" t="str">
        <x:v>status</x:v>
      </x:c>
      <x:c r="F21" s="25" t="str">
        <x:v>Not a founder decision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32" hidden="0" customWidth="1"/>
    <x:col min="32" max="32" width="15" hidden="0" customWidth="1"/>
  </x:cols>
  <x:sheetData>
    <x:row r="1" ht="34" customHeight="1">
      <x:c r="A1" s="4" t="str">
        <x:v>SKU-Level Assortment Gate</x:v>
      </x:c>
    </x:row>
    <x:row r="2" ht="30" customHeight="1">
      <x:c r="A2" s="7" t="str">
        <x:v>Enter exact SKU/variant evidence. Candidate means evidence-ready for review, never authorised to purchase.</x:v>
      </x:c>
    </x:row>
    <x:row r="5" ht="34" customHeight="1">
      <x:c r="A5" s="24" t="str">
        <x:v>SKU / variant</x:v>
      </x:c>
      <x:c r="B5" s="24" t="str">
        <x:v>Category</x:v>
      </x:c>
      <x:c r="C5" s="24" t="str">
        <x:v>Brand</x:v>
      </x:c>
      <x:c r="D5" s="24" t="str">
        <x:v>Price band</x:v>
      </x:c>
      <x:c r="E5" s="24" t="str">
        <x:v>Role</x:v>
      </x:c>
      <x:c r="F5" s="24" t="str">
        <x:v>Authorised source</x:v>
      </x:c>
      <x:c r="G5" s="24" t="str">
        <x:v>Warranty/DOA</x:v>
      </x:c>
      <x:c r="H5" s="24" t="str">
        <x:v>Customer evidence n</x:v>
      </x:c>
      <x:c r="I5" s="24" t="str">
        <x:v>Comparable 30d units</x:v>
      </x:c>
      <x:c r="J5" s="24" t="str">
        <x:v>Unit cost</x:v>
      </x:c>
      <x:c r="K5" s="24" t="str">
        <x:v>Net ASP</x:v>
      </x:c>
      <x:c r="L5" s="24" t="str">
        <x:v>Gross margin</x:v>
      </x:c>
      <x:c r="M5" s="24" t="str">
        <x:v>Lead time days</x:v>
      </x:c>
      <x:c r="N5" s="24" t="str">
        <x:v>Credit days</x:v>
      </x:c>
      <x:c r="O5" s="24" t="str">
        <x:v>Price protection</x:v>
      </x:c>
      <x:c r="P5" s="24" t="str">
        <x:v>Rotation</x:v>
      </x:c>
      <x:c r="Q5" s="24" t="str">
        <x:v>MOQ</x:v>
      </x:c>
      <x:c r="R5" s="24" t="str">
        <x:v>Display/demo units</x:v>
      </x:c>
      <x:c r="S5" s="24" t="str">
        <x:v>Planned sale units</x:v>
      </x:c>
      <x:c r="T5" s="24" t="str">
        <x:v>Opening units</x:v>
      </x:c>
      <x:c r="U5" s="24" t="str">
        <x:v>Opening cost</x:v>
      </x:c>
      <x:c r="V5" s="24" t="str">
        <x:v>Forecast 30d sales</x:v>
      </x:c>
      <x:c r="W5" s="24" t="str">
        <x:v>30d sell-through</x:v>
      </x:c>
      <x:c r="X5" s="24" t="str">
        <x:v>Days cover</x:v>
      </x:c>
      <x:c r="Y5" s="24" t="str">
        <x:v>Risk reserve/unit</x:v>
      </x:c>
      <x:c r="Z5" s="24" t="str">
        <x:v>Forecast net contribution</x:v>
      </x:c>
      <x:c r="AA5" s="24" t="str">
        <x:v>Demand gate</x:v>
      </x:c>
      <x:c r="AB5" s="24" t="str">
        <x:v>Commercial gate</x:v>
      </x:c>
      <x:c r="AC5" s="24" t="str">
        <x:v>Overall status</x:v>
      </x:c>
      <x:c r="AD5" s="24" t="str">
        <x:v>Proposed treatment</x:v>
      </x:c>
      <x:c r="AE5" s="24" t="str">
        <x:v>Evidence reference</x:v>
      </x:c>
      <x:c r="AF5" s="24" t="str">
        <x:v>Owner</x:v>
      </x:c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  <x:c r="AA6" s="48"/>
      <x:c r="AB6" s="48"/>
      <x:c r="AC6" s="48"/>
      <x:c r="AD6" s="48"/>
      <x:c r="AE6" s="48"/>
      <x:c r="AF6" s="48"/>
    </x:row>
    <x:row r="7">
      <x:c r="A7" s="49"/>
      <x:c r="B7" s="49"/>
      <x:c r="C7" s="49"/>
      <x:c r="D7" s="49"/>
      <x:c r="E7" s="49"/>
      <x:c r="F7" s="49"/>
      <x:c r="G7" s="49"/>
      <x:c r="H7" s="49"/>
      <x:c r="I7" s="49"/>
      <x:c r="J7" s="50"/>
      <x:c r="K7" s="50"/>
      <x:c r="L7" s="51" t="str">
        <x:f>IF(OR(A7="",K7&lt;=0),"",(K7-J7)/K7)</x:f>
      </x:c>
      <x:c r="M7" s="49"/>
      <x:c r="N7" s="49"/>
      <x:c r="O7" s="49"/>
      <x:c r="P7" s="49"/>
      <x:c r="Q7" s="49"/>
      <x:c r="R7" s="49"/>
      <x:c r="S7" s="49"/>
      <x:c r="T7" s="52" t="str">
        <x:f>IF(A7="","",R7+S7)</x:f>
      </x:c>
      <x:c r="U7" s="53" t="str">
        <x:f>IF(A7="","",T7*J7)</x:f>
      </x:c>
      <x:c r="V7" s="49"/>
      <x:c r="W7" s="51" t="str">
        <x:f>IF(OR(A7="",S7&lt;=0),"",MIN(V7/S7,1))</x:f>
      </x:c>
      <x:c r="X7" s="54" t="str">
        <x:f>IF(OR(A7="",V7&lt;=0),"",S7/V7*30)</x:f>
      </x:c>
      <x:c r="Y7" s="50"/>
      <x:c r="Z7" s="34" t="str">
        <x:f>IF(A7="","",V7*(K7-J7-Y7))</x:f>
      </x:c>
      <x:c r="AA7" s="38" t="str">
        <x:f>IF(A7="","",IF(AND(H7&gt;0,V7&gt;0),"Pass","Hold"))</x:f>
      </x:c>
      <x:c r="AB7" s="38" t="str">
        <x:f>IF(A7="","",IF(AND(F7="Pass",G7="Pass",K7&gt;J7,OR(O7="Pass",P7="Pass",E7="Order-led",E7="Demo/order-led")),"Pass","Hold"))</x:f>
      </x:c>
      <x:c r="AC7" s="38" t="str">
        <x:f>IF(A7="","",IF(AND(AA7="Pass",AB7="Pass",L7&gt;='Field Inputs'!$E$32,OR(E7="Order-led",E7="Demo/order-led",W7&gt;='Field Inputs'!$E$29)),"CANDIDATE","HOLD"))</x:f>
      </x:c>
      <x:c r="AD7" s="38" t="str">
        <x:f>IF(A7="","",IF(AC7="CANDIDATE",IF(OR(E7="Order-led",E7="Demo/order-led"),"DEMO / ORDER ROUTE","STOCK CANDIDATE"),"HOLD / REWORK"))</x:f>
      </x:c>
      <x:c r="AE7" s="49"/>
      <x:c r="AF7" s="49"/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50"/>
      <x:c r="K8" s="50"/>
      <x:c r="L8" s="51" t="str">
        <x:f>IF(OR(A8="",K8&lt;=0),"",(K8-J8)/K8)</x:f>
      </x:c>
      <x:c r="M8" s="49"/>
      <x:c r="N8" s="49"/>
      <x:c r="O8" s="49"/>
      <x:c r="P8" s="49"/>
      <x:c r="Q8" s="49"/>
      <x:c r="R8" s="49"/>
      <x:c r="S8" s="49"/>
      <x:c r="T8" s="52" t="str">
        <x:f>IF(A8="","",R8+S8)</x:f>
      </x:c>
      <x:c r="U8" s="53" t="str">
        <x:f>IF(A8="","",T8*J8)</x:f>
      </x:c>
      <x:c r="V8" s="49"/>
      <x:c r="W8" s="51" t="str">
        <x:f>IF(OR(A8="",S8&lt;=0),"",MIN(V8/S8,1))</x:f>
      </x:c>
      <x:c r="X8" s="54" t="str">
        <x:f>IF(OR(A8="",V8&lt;=0),"",S8/V8*30)</x:f>
      </x:c>
      <x:c r="Y8" s="50"/>
      <x:c r="Z8" s="34" t="str">
        <x:f>IF(A8="","",V8*(K8-J8-Y8))</x:f>
      </x:c>
      <x:c r="AA8" s="38" t="str">
        <x:f>IF(A8="","",IF(AND(H8&gt;0,V8&gt;0),"Pass","Hold"))</x:f>
      </x:c>
      <x:c r="AB8" s="38" t="str">
        <x:f>IF(A8="","",IF(AND(F8="Pass",G8="Pass",K8&gt;J8,OR(O8="Pass",P8="Pass",E8="Order-led",E8="Demo/order-led")),"Pass","Hold"))</x:f>
      </x:c>
      <x:c r="AC8" s="38" t="str">
        <x:f>IF(A8="","",IF(AND(AA8="Pass",AB8="Pass",L8&gt;='Field Inputs'!$E$32,OR(E8="Order-led",E8="Demo/order-led",W8&gt;='Field Inputs'!$E$29)),"CANDIDATE","HOLD"))</x:f>
      </x:c>
      <x:c r="AD8" s="38" t="str">
        <x:f>IF(A8="","",IF(AC8="CANDIDATE",IF(OR(E8="Order-led",E8="Demo/order-led"),"DEMO / ORDER ROUTE","STOCK CANDIDATE"),"HOLD / REWORK"))</x:f>
      </x:c>
      <x:c r="AE8" s="49"/>
      <x:c r="AF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50"/>
      <x:c r="K9" s="50"/>
      <x:c r="L9" s="51" t="str">
        <x:f>IF(OR(A9="",K9&lt;=0),"",(K9-J9)/K9)</x:f>
      </x:c>
      <x:c r="M9" s="49"/>
      <x:c r="N9" s="49"/>
      <x:c r="O9" s="49"/>
      <x:c r="P9" s="49"/>
      <x:c r="Q9" s="49"/>
      <x:c r="R9" s="49"/>
      <x:c r="S9" s="49"/>
      <x:c r="T9" s="52" t="str">
        <x:f>IF(A9="","",R9+S9)</x:f>
      </x:c>
      <x:c r="U9" s="53" t="str">
        <x:f>IF(A9="","",T9*J9)</x:f>
      </x:c>
      <x:c r="V9" s="49"/>
      <x:c r="W9" s="51" t="str">
        <x:f>IF(OR(A9="",S9&lt;=0),"",MIN(V9/S9,1))</x:f>
      </x:c>
      <x:c r="X9" s="54" t="str">
        <x:f>IF(OR(A9="",V9&lt;=0),"",S9/V9*30)</x:f>
      </x:c>
      <x:c r="Y9" s="50"/>
      <x:c r="Z9" s="34" t="str">
        <x:f>IF(A9="","",V9*(K9-J9-Y9))</x:f>
      </x:c>
      <x:c r="AA9" s="38" t="str">
        <x:f>IF(A9="","",IF(AND(H9&gt;0,V9&gt;0),"Pass","Hold"))</x:f>
      </x:c>
      <x:c r="AB9" s="38" t="str">
        <x:f>IF(A9="","",IF(AND(F9="Pass",G9="Pass",K9&gt;J9,OR(O9="Pass",P9="Pass",E9="Order-led",E9="Demo/order-led")),"Pass","Hold"))</x:f>
      </x:c>
      <x:c r="AC9" s="38" t="str">
        <x:f>IF(A9="","",IF(AND(AA9="Pass",AB9="Pass",L9&gt;='Field Inputs'!$E$32,OR(E9="Order-led",E9="Demo/order-led",W9&gt;='Field Inputs'!$E$29)),"CANDIDATE","HOLD"))</x:f>
      </x:c>
      <x:c r="AD9" s="38" t="str">
        <x:f>IF(A9="","",IF(AC9="CANDIDATE",IF(OR(E9="Order-led",E9="Demo/order-led"),"DEMO / ORDER ROUTE","STOCK CANDIDATE"),"HOLD / REWORK"))</x:f>
      </x:c>
      <x:c r="AE9" s="49"/>
      <x:c r="AF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50"/>
      <x:c r="K10" s="50"/>
      <x:c r="L10" s="51" t="str">
        <x:f>IF(OR(A10="",K10&lt;=0),"",(K10-J10)/K10)</x:f>
      </x:c>
      <x:c r="M10" s="49"/>
      <x:c r="N10" s="49"/>
      <x:c r="O10" s="49"/>
      <x:c r="P10" s="49"/>
      <x:c r="Q10" s="49"/>
      <x:c r="R10" s="49"/>
      <x:c r="S10" s="49"/>
      <x:c r="T10" s="52" t="str">
        <x:f>IF(A10="","",R10+S10)</x:f>
      </x:c>
      <x:c r="U10" s="53" t="str">
        <x:f>IF(A10="","",T10*J10)</x:f>
      </x:c>
      <x:c r="V10" s="49"/>
      <x:c r="W10" s="51" t="str">
        <x:f>IF(OR(A10="",S10&lt;=0),"",MIN(V10/S10,1))</x:f>
      </x:c>
      <x:c r="X10" s="54" t="str">
        <x:f>IF(OR(A10="",V10&lt;=0),"",S10/V10*30)</x:f>
      </x:c>
      <x:c r="Y10" s="50"/>
      <x:c r="Z10" s="34" t="str">
        <x:f>IF(A10="","",V10*(K10-J10-Y10))</x:f>
      </x:c>
      <x:c r="AA10" s="38" t="str">
        <x:f>IF(A10="","",IF(AND(H10&gt;0,V10&gt;0),"Pass","Hold"))</x:f>
      </x:c>
      <x:c r="AB10" s="38" t="str">
        <x:f>IF(A10="","",IF(AND(F10="Pass",G10="Pass",K10&gt;J10,OR(O10="Pass",P10="Pass",E10="Order-led",E10="Demo/order-led")),"Pass","Hold"))</x:f>
      </x:c>
      <x:c r="AC10" s="38" t="str">
        <x:f>IF(A10="","",IF(AND(AA10="Pass",AB10="Pass",L10&gt;='Field Inputs'!$E$32,OR(E10="Order-led",E10="Demo/order-led",W10&gt;='Field Inputs'!$E$29)),"CANDIDATE","HOLD"))</x:f>
      </x:c>
      <x:c r="AD10" s="38" t="str">
        <x:f>IF(A10="","",IF(AC10="CANDIDATE",IF(OR(E10="Order-led",E10="Demo/order-led"),"DEMO / ORDER ROUTE","STOCK CANDIDATE"),"HOLD / REWORK"))</x:f>
      </x:c>
      <x:c r="AE10" s="49"/>
      <x:c r="AF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50"/>
      <x:c r="K11" s="50"/>
      <x:c r="L11" s="51" t="str">
        <x:f>IF(OR(A11="",K11&lt;=0),"",(K11-J11)/K11)</x:f>
      </x:c>
      <x:c r="M11" s="49"/>
      <x:c r="N11" s="49"/>
      <x:c r="O11" s="49"/>
      <x:c r="P11" s="49"/>
      <x:c r="Q11" s="49"/>
      <x:c r="R11" s="49"/>
      <x:c r="S11" s="49"/>
      <x:c r="T11" s="52" t="str">
        <x:f>IF(A11="","",R11+S11)</x:f>
      </x:c>
      <x:c r="U11" s="53" t="str">
        <x:f>IF(A11="","",T11*J11)</x:f>
      </x:c>
      <x:c r="V11" s="49"/>
      <x:c r="W11" s="51" t="str">
        <x:f>IF(OR(A11="",S11&lt;=0),"",MIN(V11/S11,1))</x:f>
      </x:c>
      <x:c r="X11" s="54" t="str">
        <x:f>IF(OR(A11="",V11&lt;=0),"",S11/V11*30)</x:f>
      </x:c>
      <x:c r="Y11" s="50"/>
      <x:c r="Z11" s="34" t="str">
        <x:f>IF(A11="","",V11*(K11-J11-Y11))</x:f>
      </x:c>
      <x:c r="AA11" s="38" t="str">
        <x:f>IF(A11="","",IF(AND(H11&gt;0,V11&gt;0),"Pass","Hold"))</x:f>
      </x:c>
      <x:c r="AB11" s="38" t="str">
        <x:f>IF(A11="","",IF(AND(F11="Pass",G11="Pass",K11&gt;J11,OR(O11="Pass",P11="Pass",E11="Order-led",E11="Demo/order-led")),"Pass","Hold"))</x:f>
      </x:c>
      <x:c r="AC11" s="38" t="str">
        <x:f>IF(A11="","",IF(AND(AA11="Pass",AB11="Pass",L11&gt;='Field Inputs'!$E$32,OR(E11="Order-led",E11="Demo/order-led",W11&gt;='Field Inputs'!$E$29)),"CANDIDATE","HOLD"))</x:f>
      </x:c>
      <x:c r="AD11" s="38" t="str">
        <x:f>IF(A11="","",IF(AC11="CANDIDATE",IF(OR(E11="Order-led",E11="Demo/order-led"),"DEMO / ORDER ROUTE","STOCK CANDIDATE"),"HOLD / REWORK"))</x:f>
      </x:c>
      <x:c r="AE11" s="49"/>
      <x:c r="AF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50"/>
      <x:c r="K12" s="50"/>
      <x:c r="L12" s="51" t="str">
        <x:f>IF(OR(A12="",K12&lt;=0),"",(K12-J12)/K12)</x:f>
      </x:c>
      <x:c r="M12" s="49"/>
      <x:c r="N12" s="49"/>
      <x:c r="O12" s="49"/>
      <x:c r="P12" s="49"/>
      <x:c r="Q12" s="49"/>
      <x:c r="R12" s="49"/>
      <x:c r="S12" s="49"/>
      <x:c r="T12" s="52" t="str">
        <x:f>IF(A12="","",R12+S12)</x:f>
      </x:c>
      <x:c r="U12" s="53" t="str">
        <x:f>IF(A12="","",T12*J12)</x:f>
      </x:c>
      <x:c r="V12" s="49"/>
      <x:c r="W12" s="51" t="str">
        <x:f>IF(OR(A12="",S12&lt;=0),"",MIN(V12/S12,1))</x:f>
      </x:c>
      <x:c r="X12" s="54" t="str">
        <x:f>IF(OR(A12="",V12&lt;=0),"",S12/V12*30)</x:f>
      </x:c>
      <x:c r="Y12" s="50"/>
      <x:c r="Z12" s="34" t="str">
        <x:f>IF(A12="","",V12*(K12-J12-Y12))</x:f>
      </x:c>
      <x:c r="AA12" s="38" t="str">
        <x:f>IF(A12="","",IF(AND(H12&gt;0,V12&gt;0),"Pass","Hold"))</x:f>
      </x:c>
      <x:c r="AB12" s="38" t="str">
        <x:f>IF(A12="","",IF(AND(F12="Pass",G12="Pass",K12&gt;J12,OR(O12="Pass",P12="Pass",E12="Order-led",E12="Demo/order-led")),"Pass","Hold"))</x:f>
      </x:c>
      <x:c r="AC12" s="38" t="str">
        <x:f>IF(A12="","",IF(AND(AA12="Pass",AB12="Pass",L12&gt;='Field Inputs'!$E$32,OR(E12="Order-led",E12="Demo/order-led",W12&gt;='Field Inputs'!$E$29)),"CANDIDATE","HOLD"))</x:f>
      </x:c>
      <x:c r="AD12" s="38" t="str">
        <x:f>IF(A12="","",IF(AC12="CANDIDATE",IF(OR(E12="Order-led",E12="Demo/order-led"),"DEMO / ORDER ROUTE","STOCK CANDIDATE"),"HOLD / REWORK"))</x:f>
      </x:c>
      <x:c r="AE12" s="49"/>
      <x:c r="AF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50"/>
      <x:c r="K13" s="50"/>
      <x:c r="L13" s="51" t="str">
        <x:f>IF(OR(A13="",K13&lt;=0),"",(K13-J13)/K13)</x:f>
      </x:c>
      <x:c r="M13" s="49"/>
      <x:c r="N13" s="49"/>
      <x:c r="O13" s="49"/>
      <x:c r="P13" s="49"/>
      <x:c r="Q13" s="49"/>
      <x:c r="R13" s="49"/>
      <x:c r="S13" s="49"/>
      <x:c r="T13" s="52" t="str">
        <x:f>IF(A13="","",R13+S13)</x:f>
      </x:c>
      <x:c r="U13" s="53" t="str">
        <x:f>IF(A13="","",T13*J13)</x:f>
      </x:c>
      <x:c r="V13" s="49"/>
      <x:c r="W13" s="51" t="str">
        <x:f>IF(OR(A13="",S13&lt;=0),"",MIN(V13/S13,1))</x:f>
      </x:c>
      <x:c r="X13" s="54" t="str">
        <x:f>IF(OR(A13="",V13&lt;=0),"",S13/V13*30)</x:f>
      </x:c>
      <x:c r="Y13" s="50"/>
      <x:c r="Z13" s="34" t="str">
        <x:f>IF(A13="","",V13*(K13-J13-Y13))</x:f>
      </x:c>
      <x:c r="AA13" s="38" t="str">
        <x:f>IF(A13="","",IF(AND(H13&gt;0,V13&gt;0),"Pass","Hold"))</x:f>
      </x:c>
      <x:c r="AB13" s="38" t="str">
        <x:f>IF(A13="","",IF(AND(F13="Pass",G13="Pass",K13&gt;J13,OR(O13="Pass",P13="Pass",E13="Order-led",E13="Demo/order-led")),"Pass","Hold"))</x:f>
      </x:c>
      <x:c r="AC13" s="38" t="str">
        <x:f>IF(A13="","",IF(AND(AA13="Pass",AB13="Pass",L13&gt;='Field Inputs'!$E$32,OR(E13="Order-led",E13="Demo/order-led",W13&gt;='Field Inputs'!$E$29)),"CANDIDATE","HOLD"))</x:f>
      </x:c>
      <x:c r="AD13" s="38" t="str">
        <x:f>IF(A13="","",IF(AC13="CANDIDATE",IF(OR(E13="Order-led",E13="Demo/order-led"),"DEMO / ORDER ROUTE","STOCK CANDIDATE"),"HOLD / REWORK"))</x:f>
      </x:c>
      <x:c r="AE13" s="49"/>
      <x:c r="AF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50"/>
      <x:c r="K14" s="50"/>
      <x:c r="L14" s="51" t="str">
        <x:f>IF(OR(A14="",K14&lt;=0),"",(K14-J14)/K14)</x:f>
      </x:c>
      <x:c r="M14" s="49"/>
      <x:c r="N14" s="49"/>
      <x:c r="O14" s="49"/>
      <x:c r="P14" s="49"/>
      <x:c r="Q14" s="49"/>
      <x:c r="R14" s="49"/>
      <x:c r="S14" s="49"/>
      <x:c r="T14" s="52" t="str">
        <x:f>IF(A14="","",R14+S14)</x:f>
      </x:c>
      <x:c r="U14" s="53" t="str">
        <x:f>IF(A14="","",T14*J14)</x:f>
      </x:c>
      <x:c r="V14" s="49"/>
      <x:c r="W14" s="51" t="str">
        <x:f>IF(OR(A14="",S14&lt;=0),"",MIN(V14/S14,1))</x:f>
      </x:c>
      <x:c r="X14" s="54" t="str">
        <x:f>IF(OR(A14="",V14&lt;=0),"",S14/V14*30)</x:f>
      </x:c>
      <x:c r="Y14" s="50"/>
      <x:c r="Z14" s="34" t="str">
        <x:f>IF(A14="","",V14*(K14-J14-Y14))</x:f>
      </x:c>
      <x:c r="AA14" s="38" t="str">
        <x:f>IF(A14="","",IF(AND(H14&gt;0,V14&gt;0),"Pass","Hold"))</x:f>
      </x:c>
      <x:c r="AB14" s="38" t="str">
        <x:f>IF(A14="","",IF(AND(F14="Pass",G14="Pass",K14&gt;J14,OR(O14="Pass",P14="Pass",E14="Order-led",E14="Demo/order-led")),"Pass","Hold"))</x:f>
      </x:c>
      <x:c r="AC14" s="38" t="str">
        <x:f>IF(A14="","",IF(AND(AA14="Pass",AB14="Pass",L14&gt;='Field Inputs'!$E$32,OR(E14="Order-led",E14="Demo/order-led",W14&gt;='Field Inputs'!$E$29)),"CANDIDATE","HOLD"))</x:f>
      </x:c>
      <x:c r="AD14" s="38" t="str">
        <x:f>IF(A14="","",IF(AC14="CANDIDATE",IF(OR(E14="Order-led",E14="Demo/order-led"),"DEMO / ORDER ROUTE","STOCK CANDIDATE"),"HOLD / REWORK"))</x:f>
      </x:c>
      <x:c r="AE14" s="49"/>
      <x:c r="AF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50"/>
      <x:c r="K15" s="50"/>
      <x:c r="L15" s="51" t="str">
        <x:f>IF(OR(A15="",K15&lt;=0),"",(K15-J15)/K15)</x:f>
      </x:c>
      <x:c r="M15" s="49"/>
      <x:c r="N15" s="49"/>
      <x:c r="O15" s="49"/>
      <x:c r="P15" s="49"/>
      <x:c r="Q15" s="49"/>
      <x:c r="R15" s="49"/>
      <x:c r="S15" s="49"/>
      <x:c r="T15" s="52" t="str">
        <x:f>IF(A15="","",R15+S15)</x:f>
      </x:c>
      <x:c r="U15" s="53" t="str">
        <x:f>IF(A15="","",T15*J15)</x:f>
      </x:c>
      <x:c r="V15" s="49"/>
      <x:c r="W15" s="51" t="str">
        <x:f>IF(OR(A15="",S15&lt;=0),"",MIN(V15/S15,1))</x:f>
      </x:c>
      <x:c r="X15" s="54" t="str">
        <x:f>IF(OR(A15="",V15&lt;=0),"",S15/V15*30)</x:f>
      </x:c>
      <x:c r="Y15" s="50"/>
      <x:c r="Z15" s="34" t="str">
        <x:f>IF(A15="","",V15*(K15-J15-Y15))</x:f>
      </x:c>
      <x:c r="AA15" s="38" t="str">
        <x:f>IF(A15="","",IF(AND(H15&gt;0,V15&gt;0),"Pass","Hold"))</x:f>
      </x:c>
      <x:c r="AB15" s="38" t="str">
        <x:f>IF(A15="","",IF(AND(F15="Pass",G15="Pass",K15&gt;J15,OR(O15="Pass",P15="Pass",E15="Order-led",E15="Demo/order-led")),"Pass","Hold"))</x:f>
      </x:c>
      <x:c r="AC15" s="38" t="str">
        <x:f>IF(A15="","",IF(AND(AA15="Pass",AB15="Pass",L15&gt;='Field Inputs'!$E$32,OR(E15="Order-led",E15="Demo/order-led",W15&gt;='Field Inputs'!$E$29)),"CANDIDATE","HOLD"))</x:f>
      </x:c>
      <x:c r="AD15" s="38" t="str">
        <x:f>IF(A15="","",IF(AC15="CANDIDATE",IF(OR(E15="Order-led",E15="Demo/order-led"),"DEMO / ORDER ROUTE","STOCK CANDIDATE"),"HOLD / REWORK"))</x:f>
      </x:c>
      <x:c r="AE15" s="49"/>
      <x:c r="AF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50"/>
      <x:c r="K16" s="50"/>
      <x:c r="L16" s="51" t="str">
        <x:f>IF(OR(A16="",K16&lt;=0),"",(K16-J16)/K16)</x:f>
      </x:c>
      <x:c r="M16" s="49"/>
      <x:c r="N16" s="49"/>
      <x:c r="O16" s="49"/>
      <x:c r="P16" s="49"/>
      <x:c r="Q16" s="49"/>
      <x:c r="R16" s="49"/>
      <x:c r="S16" s="49"/>
      <x:c r="T16" s="52" t="str">
        <x:f>IF(A16="","",R16+S16)</x:f>
      </x:c>
      <x:c r="U16" s="53" t="str">
        <x:f>IF(A16="","",T16*J16)</x:f>
      </x:c>
      <x:c r="V16" s="49"/>
      <x:c r="W16" s="51" t="str">
        <x:f>IF(OR(A16="",S16&lt;=0),"",MIN(V16/S16,1))</x:f>
      </x:c>
      <x:c r="X16" s="54" t="str">
        <x:f>IF(OR(A16="",V16&lt;=0),"",S16/V16*30)</x:f>
      </x:c>
      <x:c r="Y16" s="50"/>
      <x:c r="Z16" s="34" t="str">
        <x:f>IF(A16="","",V16*(K16-J16-Y16))</x:f>
      </x:c>
      <x:c r="AA16" s="38" t="str">
        <x:f>IF(A16="","",IF(AND(H16&gt;0,V16&gt;0),"Pass","Hold"))</x:f>
      </x:c>
      <x:c r="AB16" s="38" t="str">
        <x:f>IF(A16="","",IF(AND(F16="Pass",G16="Pass",K16&gt;J16,OR(O16="Pass",P16="Pass",E16="Order-led",E16="Demo/order-led")),"Pass","Hold"))</x:f>
      </x:c>
      <x:c r="AC16" s="38" t="str">
        <x:f>IF(A16="","",IF(AND(AA16="Pass",AB16="Pass",L16&gt;='Field Inputs'!$E$32,OR(E16="Order-led",E16="Demo/order-led",W16&gt;='Field Inputs'!$E$29)),"CANDIDATE","HOLD"))</x:f>
      </x:c>
      <x:c r="AD16" s="38" t="str">
        <x:f>IF(A16="","",IF(AC16="CANDIDATE",IF(OR(E16="Order-led",E16="Demo/order-led"),"DEMO / ORDER ROUTE","STOCK CANDIDATE"),"HOLD / REWORK"))</x:f>
      </x:c>
      <x:c r="AE16" s="49"/>
      <x:c r="AF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50"/>
      <x:c r="K17" s="50"/>
      <x:c r="L17" s="51" t="str">
        <x:f>IF(OR(A17="",K17&lt;=0),"",(K17-J17)/K17)</x:f>
      </x:c>
      <x:c r="M17" s="49"/>
      <x:c r="N17" s="49"/>
      <x:c r="O17" s="49"/>
      <x:c r="P17" s="49"/>
      <x:c r="Q17" s="49"/>
      <x:c r="R17" s="49"/>
      <x:c r="S17" s="49"/>
      <x:c r="T17" s="52" t="str">
        <x:f>IF(A17="","",R17+S17)</x:f>
      </x:c>
      <x:c r="U17" s="53" t="str">
        <x:f>IF(A17="","",T17*J17)</x:f>
      </x:c>
      <x:c r="V17" s="49"/>
      <x:c r="W17" s="51" t="str">
        <x:f>IF(OR(A17="",S17&lt;=0),"",MIN(V17/S17,1))</x:f>
      </x:c>
      <x:c r="X17" s="54" t="str">
        <x:f>IF(OR(A17="",V17&lt;=0),"",S17/V17*30)</x:f>
      </x:c>
      <x:c r="Y17" s="50"/>
      <x:c r="Z17" s="34" t="str">
        <x:f>IF(A17="","",V17*(K17-J17-Y17))</x:f>
      </x:c>
      <x:c r="AA17" s="38" t="str">
        <x:f>IF(A17="","",IF(AND(H17&gt;0,V17&gt;0),"Pass","Hold"))</x:f>
      </x:c>
      <x:c r="AB17" s="38" t="str">
        <x:f>IF(A17="","",IF(AND(F17="Pass",G17="Pass",K17&gt;J17,OR(O17="Pass",P17="Pass",E17="Order-led",E17="Demo/order-led")),"Pass","Hold"))</x:f>
      </x:c>
      <x:c r="AC17" s="38" t="str">
        <x:f>IF(A17="","",IF(AND(AA17="Pass",AB17="Pass",L17&gt;='Field Inputs'!$E$32,OR(E17="Order-led",E17="Demo/order-led",W17&gt;='Field Inputs'!$E$29)),"CANDIDATE","HOLD"))</x:f>
      </x:c>
      <x:c r="AD17" s="38" t="str">
        <x:f>IF(A17="","",IF(AC17="CANDIDATE",IF(OR(E17="Order-led",E17="Demo/order-led"),"DEMO / ORDER ROUTE","STOCK CANDIDATE"),"HOLD / REWORK"))</x:f>
      </x:c>
      <x:c r="AE17" s="49"/>
      <x:c r="AF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50"/>
      <x:c r="K18" s="50"/>
      <x:c r="L18" s="51" t="str">
        <x:f>IF(OR(A18="",K18&lt;=0),"",(K18-J18)/K18)</x:f>
      </x:c>
      <x:c r="M18" s="49"/>
      <x:c r="N18" s="49"/>
      <x:c r="O18" s="49"/>
      <x:c r="P18" s="49"/>
      <x:c r="Q18" s="49"/>
      <x:c r="R18" s="49"/>
      <x:c r="S18" s="49"/>
      <x:c r="T18" s="52" t="str">
        <x:f>IF(A18="","",R18+S18)</x:f>
      </x:c>
      <x:c r="U18" s="53" t="str">
        <x:f>IF(A18="","",T18*J18)</x:f>
      </x:c>
      <x:c r="V18" s="49"/>
      <x:c r="W18" s="51" t="str">
        <x:f>IF(OR(A18="",S18&lt;=0),"",MIN(V18/S18,1))</x:f>
      </x:c>
      <x:c r="X18" s="54" t="str">
        <x:f>IF(OR(A18="",V18&lt;=0),"",S18/V18*30)</x:f>
      </x:c>
      <x:c r="Y18" s="50"/>
      <x:c r="Z18" s="34" t="str">
        <x:f>IF(A18="","",V18*(K18-J18-Y18))</x:f>
      </x:c>
      <x:c r="AA18" s="38" t="str">
        <x:f>IF(A18="","",IF(AND(H18&gt;0,V18&gt;0),"Pass","Hold"))</x:f>
      </x:c>
      <x:c r="AB18" s="38" t="str">
        <x:f>IF(A18="","",IF(AND(F18="Pass",G18="Pass",K18&gt;J18,OR(O18="Pass",P18="Pass",E18="Order-led",E18="Demo/order-led")),"Pass","Hold"))</x:f>
      </x:c>
      <x:c r="AC18" s="38" t="str">
        <x:f>IF(A18="","",IF(AND(AA18="Pass",AB18="Pass",L18&gt;='Field Inputs'!$E$32,OR(E18="Order-led",E18="Demo/order-led",W18&gt;='Field Inputs'!$E$29)),"CANDIDATE","HOLD"))</x:f>
      </x:c>
      <x:c r="AD18" s="38" t="str">
        <x:f>IF(A18="","",IF(AC18="CANDIDATE",IF(OR(E18="Order-led",E18="Demo/order-led"),"DEMO / ORDER ROUTE","STOCK CANDIDATE"),"HOLD / REWORK"))</x:f>
      </x:c>
      <x:c r="AE18" s="49"/>
      <x:c r="AF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50"/>
      <x:c r="K19" s="50"/>
      <x:c r="L19" s="51" t="str">
        <x:f>IF(OR(A19="",K19&lt;=0),"",(K19-J19)/K19)</x:f>
      </x:c>
      <x:c r="M19" s="49"/>
      <x:c r="N19" s="49"/>
      <x:c r="O19" s="49"/>
      <x:c r="P19" s="49"/>
      <x:c r="Q19" s="49"/>
      <x:c r="R19" s="49"/>
      <x:c r="S19" s="49"/>
      <x:c r="T19" s="52" t="str">
        <x:f>IF(A19="","",R19+S19)</x:f>
      </x:c>
      <x:c r="U19" s="53" t="str">
        <x:f>IF(A19="","",T19*J19)</x:f>
      </x:c>
      <x:c r="V19" s="49"/>
      <x:c r="W19" s="51" t="str">
        <x:f>IF(OR(A19="",S19&lt;=0),"",MIN(V19/S19,1))</x:f>
      </x:c>
      <x:c r="X19" s="54" t="str">
        <x:f>IF(OR(A19="",V19&lt;=0),"",S19/V19*30)</x:f>
      </x:c>
      <x:c r="Y19" s="50"/>
      <x:c r="Z19" s="34" t="str">
        <x:f>IF(A19="","",V19*(K19-J19-Y19))</x:f>
      </x:c>
      <x:c r="AA19" s="38" t="str">
        <x:f>IF(A19="","",IF(AND(H19&gt;0,V19&gt;0),"Pass","Hold"))</x:f>
      </x:c>
      <x:c r="AB19" s="38" t="str">
        <x:f>IF(A19="","",IF(AND(F19="Pass",G19="Pass",K19&gt;J19,OR(O19="Pass",P19="Pass",E19="Order-led",E19="Demo/order-led")),"Pass","Hold"))</x:f>
      </x:c>
      <x:c r="AC19" s="38" t="str">
        <x:f>IF(A19="","",IF(AND(AA19="Pass",AB19="Pass",L19&gt;='Field Inputs'!$E$32,OR(E19="Order-led",E19="Demo/order-led",W19&gt;='Field Inputs'!$E$29)),"CANDIDATE","HOLD"))</x:f>
      </x:c>
      <x:c r="AD19" s="38" t="str">
        <x:f>IF(A19="","",IF(AC19="CANDIDATE",IF(OR(E19="Order-led",E19="Demo/order-led"),"DEMO / ORDER ROUTE","STOCK CANDIDATE"),"HOLD / REWORK"))</x:f>
      </x:c>
      <x:c r="AE19" s="49"/>
      <x:c r="AF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50"/>
      <x:c r="K20" s="50"/>
      <x:c r="L20" s="51" t="str">
        <x:f>IF(OR(A20="",K20&lt;=0),"",(K20-J20)/K20)</x:f>
      </x:c>
      <x:c r="M20" s="49"/>
      <x:c r="N20" s="49"/>
      <x:c r="O20" s="49"/>
      <x:c r="P20" s="49"/>
      <x:c r="Q20" s="49"/>
      <x:c r="R20" s="49"/>
      <x:c r="S20" s="49"/>
      <x:c r="T20" s="52" t="str">
        <x:f>IF(A20="","",R20+S20)</x:f>
      </x:c>
      <x:c r="U20" s="53" t="str">
        <x:f>IF(A20="","",T20*J20)</x:f>
      </x:c>
      <x:c r="V20" s="49"/>
      <x:c r="W20" s="51" t="str">
        <x:f>IF(OR(A20="",S20&lt;=0),"",MIN(V20/S20,1))</x:f>
      </x:c>
      <x:c r="X20" s="54" t="str">
        <x:f>IF(OR(A20="",V20&lt;=0),"",S20/V20*30)</x:f>
      </x:c>
      <x:c r="Y20" s="50"/>
      <x:c r="Z20" s="34" t="str">
        <x:f>IF(A20="","",V20*(K20-J20-Y20))</x:f>
      </x:c>
      <x:c r="AA20" s="38" t="str">
        <x:f>IF(A20="","",IF(AND(H20&gt;0,V20&gt;0),"Pass","Hold"))</x:f>
      </x:c>
      <x:c r="AB20" s="38" t="str">
        <x:f>IF(A20="","",IF(AND(F20="Pass",G20="Pass",K20&gt;J20,OR(O20="Pass",P20="Pass",E20="Order-led",E20="Demo/order-led")),"Pass","Hold"))</x:f>
      </x:c>
      <x:c r="AC20" s="38" t="str">
        <x:f>IF(A20="","",IF(AND(AA20="Pass",AB20="Pass",L20&gt;='Field Inputs'!$E$32,OR(E20="Order-led",E20="Demo/order-led",W20&gt;='Field Inputs'!$E$29)),"CANDIDATE","HOLD"))</x:f>
      </x:c>
      <x:c r="AD20" s="38" t="str">
        <x:f>IF(A20="","",IF(AC20="CANDIDATE",IF(OR(E20="Order-led",E20="Demo/order-led"),"DEMO / ORDER ROUTE","STOCK CANDIDATE"),"HOLD / REWORK"))</x:f>
      </x:c>
      <x:c r="AE20" s="49"/>
      <x:c r="AF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50"/>
      <x:c r="K21" s="50"/>
      <x:c r="L21" s="51" t="str">
        <x:f>IF(OR(A21="",K21&lt;=0),"",(K21-J21)/K21)</x:f>
      </x:c>
      <x:c r="M21" s="49"/>
      <x:c r="N21" s="49"/>
      <x:c r="O21" s="49"/>
      <x:c r="P21" s="49"/>
      <x:c r="Q21" s="49"/>
      <x:c r="R21" s="49"/>
      <x:c r="S21" s="49"/>
      <x:c r="T21" s="52" t="str">
        <x:f>IF(A21="","",R21+S21)</x:f>
      </x:c>
      <x:c r="U21" s="53" t="str">
        <x:f>IF(A21="","",T21*J21)</x:f>
      </x:c>
      <x:c r="V21" s="49"/>
      <x:c r="W21" s="51" t="str">
        <x:f>IF(OR(A21="",S21&lt;=0),"",MIN(V21/S21,1))</x:f>
      </x:c>
      <x:c r="X21" s="54" t="str">
        <x:f>IF(OR(A21="",V21&lt;=0),"",S21/V21*30)</x:f>
      </x:c>
      <x:c r="Y21" s="50"/>
      <x:c r="Z21" s="34" t="str">
        <x:f>IF(A21="","",V21*(K21-J21-Y21))</x:f>
      </x:c>
      <x:c r="AA21" s="38" t="str">
        <x:f>IF(A21="","",IF(AND(H21&gt;0,V21&gt;0),"Pass","Hold"))</x:f>
      </x:c>
      <x:c r="AB21" s="38" t="str">
        <x:f>IF(A21="","",IF(AND(F21="Pass",G21="Pass",K21&gt;J21,OR(O21="Pass",P21="Pass",E21="Order-led",E21="Demo/order-led")),"Pass","Hold"))</x:f>
      </x:c>
      <x:c r="AC21" s="38" t="str">
        <x:f>IF(A21="","",IF(AND(AA21="Pass",AB21="Pass",L21&gt;='Field Inputs'!$E$32,OR(E21="Order-led",E21="Demo/order-led",W21&gt;='Field Inputs'!$E$29)),"CANDIDATE","HOLD"))</x:f>
      </x:c>
      <x:c r="AD21" s="38" t="str">
        <x:f>IF(A21="","",IF(AC21="CANDIDATE",IF(OR(E21="Order-led",E21="Demo/order-led"),"DEMO / ORDER ROUTE","STOCK CANDIDATE"),"HOLD / REWORK"))</x:f>
      </x:c>
      <x:c r="AE21" s="49"/>
      <x:c r="AF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50"/>
      <x:c r="K22" s="50"/>
      <x:c r="L22" s="51" t="str">
        <x:f>IF(OR(A22="",K22&lt;=0),"",(K22-J22)/K22)</x:f>
      </x:c>
      <x:c r="M22" s="49"/>
      <x:c r="N22" s="49"/>
      <x:c r="O22" s="49"/>
      <x:c r="P22" s="49"/>
      <x:c r="Q22" s="49"/>
      <x:c r="R22" s="49"/>
      <x:c r="S22" s="49"/>
      <x:c r="T22" s="52" t="str">
        <x:f>IF(A22="","",R22+S22)</x:f>
      </x:c>
      <x:c r="U22" s="53" t="str">
        <x:f>IF(A22="","",T22*J22)</x:f>
      </x:c>
      <x:c r="V22" s="49"/>
      <x:c r="W22" s="51" t="str">
        <x:f>IF(OR(A22="",S22&lt;=0),"",MIN(V22/S22,1))</x:f>
      </x:c>
      <x:c r="X22" s="54" t="str">
        <x:f>IF(OR(A22="",V22&lt;=0),"",S22/V22*30)</x:f>
      </x:c>
      <x:c r="Y22" s="50"/>
      <x:c r="Z22" s="34" t="str">
        <x:f>IF(A22="","",V22*(K22-J22-Y22))</x:f>
      </x:c>
      <x:c r="AA22" s="38" t="str">
        <x:f>IF(A22="","",IF(AND(H22&gt;0,V22&gt;0),"Pass","Hold"))</x:f>
      </x:c>
      <x:c r="AB22" s="38" t="str">
        <x:f>IF(A22="","",IF(AND(F22="Pass",G22="Pass",K22&gt;J22,OR(O22="Pass",P22="Pass",E22="Order-led",E22="Demo/order-led")),"Pass","Hold"))</x:f>
      </x:c>
      <x:c r="AC22" s="38" t="str">
        <x:f>IF(A22="","",IF(AND(AA22="Pass",AB22="Pass",L22&gt;='Field Inputs'!$E$32,OR(E22="Order-led",E22="Demo/order-led",W22&gt;='Field Inputs'!$E$29)),"CANDIDATE","HOLD"))</x:f>
      </x:c>
      <x:c r="AD22" s="38" t="str">
        <x:f>IF(A22="","",IF(AC22="CANDIDATE",IF(OR(E22="Order-led",E22="Demo/order-led"),"DEMO / ORDER ROUTE","STOCK CANDIDATE"),"HOLD / REWORK"))</x:f>
      </x:c>
      <x:c r="AE22" s="49"/>
      <x:c r="AF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50"/>
      <x:c r="K23" s="50"/>
      <x:c r="L23" s="51" t="str">
        <x:f>IF(OR(A23="",K23&lt;=0),"",(K23-J23)/K23)</x:f>
      </x:c>
      <x:c r="M23" s="49"/>
      <x:c r="N23" s="49"/>
      <x:c r="O23" s="49"/>
      <x:c r="P23" s="49"/>
      <x:c r="Q23" s="49"/>
      <x:c r="R23" s="49"/>
      <x:c r="S23" s="49"/>
      <x:c r="T23" s="52" t="str">
        <x:f>IF(A23="","",R23+S23)</x:f>
      </x:c>
      <x:c r="U23" s="53" t="str">
        <x:f>IF(A23="","",T23*J23)</x:f>
      </x:c>
      <x:c r="V23" s="49"/>
      <x:c r="W23" s="51" t="str">
        <x:f>IF(OR(A23="",S23&lt;=0),"",MIN(V23/S23,1))</x:f>
      </x:c>
      <x:c r="X23" s="54" t="str">
        <x:f>IF(OR(A23="",V23&lt;=0),"",S23/V23*30)</x:f>
      </x:c>
      <x:c r="Y23" s="50"/>
      <x:c r="Z23" s="34" t="str">
        <x:f>IF(A23="","",V23*(K23-J23-Y23))</x:f>
      </x:c>
      <x:c r="AA23" s="38" t="str">
        <x:f>IF(A23="","",IF(AND(H23&gt;0,V23&gt;0),"Pass","Hold"))</x:f>
      </x:c>
      <x:c r="AB23" s="38" t="str">
        <x:f>IF(A23="","",IF(AND(F23="Pass",G23="Pass",K23&gt;J23,OR(O23="Pass",P23="Pass",E23="Order-led",E23="Demo/order-led")),"Pass","Hold"))</x:f>
      </x:c>
      <x:c r="AC23" s="38" t="str">
        <x:f>IF(A23="","",IF(AND(AA23="Pass",AB23="Pass",L23&gt;='Field Inputs'!$E$32,OR(E23="Order-led",E23="Demo/order-led",W23&gt;='Field Inputs'!$E$29)),"CANDIDATE","HOLD"))</x:f>
      </x:c>
      <x:c r="AD23" s="38" t="str">
        <x:f>IF(A23="","",IF(AC23="CANDIDATE",IF(OR(E23="Order-led",E23="Demo/order-led"),"DEMO / ORDER ROUTE","STOCK CANDIDATE"),"HOLD / REWORK"))</x:f>
      </x:c>
      <x:c r="AE23" s="49"/>
      <x:c r="AF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50"/>
      <x:c r="K24" s="50"/>
      <x:c r="L24" s="51" t="str">
        <x:f>IF(OR(A24="",K24&lt;=0),"",(K24-J24)/K24)</x:f>
      </x:c>
      <x:c r="M24" s="49"/>
      <x:c r="N24" s="49"/>
      <x:c r="O24" s="49"/>
      <x:c r="P24" s="49"/>
      <x:c r="Q24" s="49"/>
      <x:c r="R24" s="49"/>
      <x:c r="S24" s="49"/>
      <x:c r="T24" s="52" t="str">
        <x:f>IF(A24="","",R24+S24)</x:f>
      </x:c>
      <x:c r="U24" s="53" t="str">
        <x:f>IF(A24="","",T24*J24)</x:f>
      </x:c>
      <x:c r="V24" s="49"/>
      <x:c r="W24" s="51" t="str">
        <x:f>IF(OR(A24="",S24&lt;=0),"",MIN(V24/S24,1))</x:f>
      </x:c>
      <x:c r="X24" s="54" t="str">
        <x:f>IF(OR(A24="",V24&lt;=0),"",S24/V24*30)</x:f>
      </x:c>
      <x:c r="Y24" s="50"/>
      <x:c r="Z24" s="34" t="str">
        <x:f>IF(A24="","",V24*(K24-J24-Y24))</x:f>
      </x:c>
      <x:c r="AA24" s="38" t="str">
        <x:f>IF(A24="","",IF(AND(H24&gt;0,V24&gt;0),"Pass","Hold"))</x:f>
      </x:c>
      <x:c r="AB24" s="38" t="str">
        <x:f>IF(A24="","",IF(AND(F24="Pass",G24="Pass",K24&gt;J24,OR(O24="Pass",P24="Pass",E24="Order-led",E24="Demo/order-led")),"Pass","Hold"))</x:f>
      </x:c>
      <x:c r="AC24" s="38" t="str">
        <x:f>IF(A24="","",IF(AND(AA24="Pass",AB24="Pass",L24&gt;='Field Inputs'!$E$32,OR(E24="Order-led",E24="Demo/order-led",W24&gt;='Field Inputs'!$E$29)),"CANDIDATE","HOLD"))</x:f>
      </x:c>
      <x:c r="AD24" s="38" t="str">
        <x:f>IF(A24="","",IF(AC24="CANDIDATE",IF(OR(E24="Order-led",E24="Demo/order-led"),"DEMO / ORDER ROUTE","STOCK CANDIDATE"),"HOLD / REWORK"))</x:f>
      </x:c>
      <x:c r="AE24" s="49"/>
      <x:c r="AF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50"/>
      <x:c r="K25" s="50"/>
      <x:c r="L25" s="51" t="str">
        <x:f>IF(OR(A25="",K25&lt;=0),"",(K25-J25)/K25)</x:f>
      </x:c>
      <x:c r="M25" s="49"/>
      <x:c r="N25" s="49"/>
      <x:c r="O25" s="49"/>
      <x:c r="P25" s="49"/>
      <x:c r="Q25" s="49"/>
      <x:c r="R25" s="49"/>
      <x:c r="S25" s="49"/>
      <x:c r="T25" s="52" t="str">
        <x:f>IF(A25="","",R25+S25)</x:f>
      </x:c>
      <x:c r="U25" s="53" t="str">
        <x:f>IF(A25="","",T25*J25)</x:f>
      </x:c>
      <x:c r="V25" s="49"/>
      <x:c r="W25" s="51" t="str">
        <x:f>IF(OR(A25="",S25&lt;=0),"",MIN(V25/S25,1))</x:f>
      </x:c>
      <x:c r="X25" s="54" t="str">
        <x:f>IF(OR(A25="",V25&lt;=0),"",S25/V25*30)</x:f>
      </x:c>
      <x:c r="Y25" s="50"/>
      <x:c r="Z25" s="34" t="str">
        <x:f>IF(A25="","",V25*(K25-J25-Y25))</x:f>
      </x:c>
      <x:c r="AA25" s="38" t="str">
        <x:f>IF(A25="","",IF(AND(H25&gt;0,V25&gt;0),"Pass","Hold"))</x:f>
      </x:c>
      <x:c r="AB25" s="38" t="str">
        <x:f>IF(A25="","",IF(AND(F25="Pass",G25="Pass",K25&gt;J25,OR(O25="Pass",P25="Pass",E25="Order-led",E25="Demo/order-led")),"Pass","Hold"))</x:f>
      </x:c>
      <x:c r="AC25" s="38" t="str">
        <x:f>IF(A25="","",IF(AND(AA25="Pass",AB25="Pass",L25&gt;='Field Inputs'!$E$32,OR(E25="Order-led",E25="Demo/order-led",W25&gt;='Field Inputs'!$E$29)),"CANDIDATE","HOLD"))</x:f>
      </x:c>
      <x:c r="AD25" s="38" t="str">
        <x:f>IF(A25="","",IF(AC25="CANDIDATE",IF(OR(E25="Order-led",E25="Demo/order-led"),"DEMO / ORDER ROUTE","STOCK CANDIDATE"),"HOLD / REWORK"))</x:f>
      </x:c>
      <x:c r="AE25" s="49"/>
      <x:c r="AF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50"/>
      <x:c r="K26" s="50"/>
      <x:c r="L26" s="51" t="str">
        <x:f>IF(OR(A26="",K26&lt;=0),"",(K26-J26)/K26)</x:f>
      </x:c>
      <x:c r="M26" s="49"/>
      <x:c r="N26" s="49"/>
      <x:c r="O26" s="49"/>
      <x:c r="P26" s="49"/>
      <x:c r="Q26" s="49"/>
      <x:c r="R26" s="49"/>
      <x:c r="S26" s="49"/>
      <x:c r="T26" s="52" t="str">
        <x:f>IF(A26="","",R26+S26)</x:f>
      </x:c>
      <x:c r="U26" s="53" t="str">
        <x:f>IF(A26="","",T26*J26)</x:f>
      </x:c>
      <x:c r="V26" s="49"/>
      <x:c r="W26" s="51" t="str">
        <x:f>IF(OR(A26="",S26&lt;=0),"",MIN(V26/S26,1))</x:f>
      </x:c>
      <x:c r="X26" s="54" t="str">
        <x:f>IF(OR(A26="",V26&lt;=0),"",S26/V26*30)</x:f>
      </x:c>
      <x:c r="Y26" s="50"/>
      <x:c r="Z26" s="34" t="str">
        <x:f>IF(A26="","",V26*(K26-J26-Y26))</x:f>
      </x:c>
      <x:c r="AA26" s="38" t="str">
        <x:f>IF(A26="","",IF(AND(H26&gt;0,V26&gt;0),"Pass","Hold"))</x:f>
      </x:c>
      <x:c r="AB26" s="38" t="str">
        <x:f>IF(A26="","",IF(AND(F26="Pass",G26="Pass",K26&gt;J26,OR(O26="Pass",P26="Pass",E26="Order-led",E26="Demo/order-led")),"Pass","Hold"))</x:f>
      </x:c>
      <x:c r="AC26" s="38" t="str">
        <x:f>IF(A26="","",IF(AND(AA26="Pass",AB26="Pass",L26&gt;='Field Inputs'!$E$32,OR(E26="Order-led",E26="Demo/order-led",W26&gt;='Field Inputs'!$E$29)),"CANDIDATE","HOLD"))</x:f>
      </x:c>
      <x:c r="AD26" s="38" t="str">
        <x:f>IF(A26="","",IF(AC26="CANDIDATE",IF(OR(E26="Order-led",E26="Demo/order-led"),"DEMO / ORDER ROUTE","STOCK CANDIDATE"),"HOLD / REWORK"))</x:f>
      </x:c>
      <x:c r="AE26" s="49"/>
      <x:c r="AF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50"/>
      <x:c r="K27" s="50"/>
      <x:c r="L27" s="51" t="str">
        <x:f>IF(OR(A27="",K27&lt;=0),"",(K27-J27)/K27)</x:f>
      </x:c>
      <x:c r="M27" s="49"/>
      <x:c r="N27" s="49"/>
      <x:c r="O27" s="49"/>
      <x:c r="P27" s="49"/>
      <x:c r="Q27" s="49"/>
      <x:c r="R27" s="49"/>
      <x:c r="S27" s="49"/>
      <x:c r="T27" s="52" t="str">
        <x:f>IF(A27="","",R27+S27)</x:f>
      </x:c>
      <x:c r="U27" s="53" t="str">
        <x:f>IF(A27="","",T27*J27)</x:f>
      </x:c>
      <x:c r="V27" s="49"/>
      <x:c r="W27" s="51" t="str">
        <x:f>IF(OR(A27="",S27&lt;=0),"",MIN(V27/S27,1))</x:f>
      </x:c>
      <x:c r="X27" s="54" t="str">
        <x:f>IF(OR(A27="",V27&lt;=0),"",S27/V27*30)</x:f>
      </x:c>
      <x:c r="Y27" s="50"/>
      <x:c r="Z27" s="34" t="str">
        <x:f>IF(A27="","",V27*(K27-J27-Y27))</x:f>
      </x:c>
      <x:c r="AA27" s="38" t="str">
        <x:f>IF(A27="","",IF(AND(H27&gt;0,V27&gt;0),"Pass","Hold"))</x:f>
      </x:c>
      <x:c r="AB27" s="38" t="str">
        <x:f>IF(A27="","",IF(AND(F27="Pass",G27="Pass",K27&gt;J27,OR(O27="Pass",P27="Pass",E27="Order-led",E27="Demo/order-led")),"Pass","Hold"))</x:f>
      </x:c>
      <x:c r="AC27" s="38" t="str">
        <x:f>IF(A27="","",IF(AND(AA27="Pass",AB27="Pass",L27&gt;='Field Inputs'!$E$32,OR(E27="Order-led",E27="Demo/order-led",W27&gt;='Field Inputs'!$E$29)),"CANDIDATE","HOLD"))</x:f>
      </x:c>
      <x:c r="AD27" s="38" t="str">
        <x:f>IF(A27="","",IF(AC27="CANDIDATE",IF(OR(E27="Order-led",E27="Demo/order-led"),"DEMO / ORDER ROUTE","STOCK CANDIDATE"),"HOLD / REWORK"))</x:f>
      </x:c>
      <x:c r="AE27" s="49"/>
      <x:c r="AF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50"/>
      <x:c r="K28" s="50"/>
      <x:c r="L28" s="51" t="str">
        <x:f>IF(OR(A28="",K28&lt;=0),"",(K28-J28)/K28)</x:f>
      </x:c>
      <x:c r="M28" s="49"/>
      <x:c r="N28" s="49"/>
      <x:c r="O28" s="49"/>
      <x:c r="P28" s="49"/>
      <x:c r="Q28" s="49"/>
      <x:c r="R28" s="49"/>
      <x:c r="S28" s="49"/>
      <x:c r="T28" s="52" t="str">
        <x:f>IF(A28="","",R28+S28)</x:f>
      </x:c>
      <x:c r="U28" s="53" t="str">
        <x:f>IF(A28="","",T28*J28)</x:f>
      </x:c>
      <x:c r="V28" s="49"/>
      <x:c r="W28" s="51" t="str">
        <x:f>IF(OR(A28="",S28&lt;=0),"",MIN(V28/S28,1))</x:f>
      </x:c>
      <x:c r="X28" s="54" t="str">
        <x:f>IF(OR(A28="",V28&lt;=0),"",S28/V28*30)</x:f>
      </x:c>
      <x:c r="Y28" s="50"/>
      <x:c r="Z28" s="34" t="str">
        <x:f>IF(A28="","",V28*(K28-J28-Y28))</x:f>
      </x:c>
      <x:c r="AA28" s="38" t="str">
        <x:f>IF(A28="","",IF(AND(H28&gt;0,V28&gt;0),"Pass","Hold"))</x:f>
      </x:c>
      <x:c r="AB28" s="38" t="str">
        <x:f>IF(A28="","",IF(AND(F28="Pass",G28="Pass",K28&gt;J28,OR(O28="Pass",P28="Pass",E28="Order-led",E28="Demo/order-led")),"Pass","Hold"))</x:f>
      </x:c>
      <x:c r="AC28" s="38" t="str">
        <x:f>IF(A28="","",IF(AND(AA28="Pass",AB28="Pass",L28&gt;='Field Inputs'!$E$32,OR(E28="Order-led",E28="Demo/order-led",W28&gt;='Field Inputs'!$E$29)),"CANDIDATE","HOLD"))</x:f>
      </x:c>
      <x:c r="AD28" s="38" t="str">
        <x:f>IF(A28="","",IF(AC28="CANDIDATE",IF(OR(E28="Order-led",E28="Demo/order-led"),"DEMO / ORDER ROUTE","STOCK CANDIDATE"),"HOLD / REWORK"))</x:f>
      </x:c>
      <x:c r="AE28" s="49"/>
      <x:c r="AF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50"/>
      <x:c r="K29" s="50"/>
      <x:c r="L29" s="51" t="str">
        <x:f>IF(OR(A29="",K29&lt;=0),"",(K29-J29)/K29)</x:f>
      </x:c>
      <x:c r="M29" s="49"/>
      <x:c r="N29" s="49"/>
      <x:c r="O29" s="49"/>
      <x:c r="P29" s="49"/>
      <x:c r="Q29" s="49"/>
      <x:c r="R29" s="49"/>
      <x:c r="S29" s="49"/>
      <x:c r="T29" s="52" t="str">
        <x:f>IF(A29="","",R29+S29)</x:f>
      </x:c>
      <x:c r="U29" s="53" t="str">
        <x:f>IF(A29="","",T29*J29)</x:f>
      </x:c>
      <x:c r="V29" s="49"/>
      <x:c r="W29" s="51" t="str">
        <x:f>IF(OR(A29="",S29&lt;=0),"",MIN(V29/S29,1))</x:f>
      </x:c>
      <x:c r="X29" s="54" t="str">
        <x:f>IF(OR(A29="",V29&lt;=0),"",S29/V29*30)</x:f>
      </x:c>
      <x:c r="Y29" s="50"/>
      <x:c r="Z29" s="34" t="str">
        <x:f>IF(A29="","",V29*(K29-J29-Y29))</x:f>
      </x:c>
      <x:c r="AA29" s="38" t="str">
        <x:f>IF(A29="","",IF(AND(H29&gt;0,V29&gt;0),"Pass","Hold"))</x:f>
      </x:c>
      <x:c r="AB29" s="38" t="str">
        <x:f>IF(A29="","",IF(AND(F29="Pass",G29="Pass",K29&gt;J29,OR(O29="Pass",P29="Pass",E29="Order-led",E29="Demo/order-led")),"Pass","Hold"))</x:f>
      </x:c>
      <x:c r="AC29" s="38" t="str">
        <x:f>IF(A29="","",IF(AND(AA29="Pass",AB29="Pass",L29&gt;='Field Inputs'!$E$32,OR(E29="Order-led",E29="Demo/order-led",W29&gt;='Field Inputs'!$E$29)),"CANDIDATE","HOLD"))</x:f>
      </x:c>
      <x:c r="AD29" s="38" t="str">
        <x:f>IF(A29="","",IF(AC29="CANDIDATE",IF(OR(E29="Order-led",E29="Demo/order-led"),"DEMO / ORDER ROUTE","STOCK CANDIDATE"),"HOLD / REWORK"))</x:f>
      </x:c>
      <x:c r="AE29" s="49"/>
      <x:c r="AF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50"/>
      <x:c r="K30" s="50"/>
      <x:c r="L30" s="51" t="str">
        <x:f>IF(OR(A30="",K30&lt;=0),"",(K30-J30)/K30)</x:f>
      </x:c>
      <x:c r="M30" s="49"/>
      <x:c r="N30" s="49"/>
      <x:c r="O30" s="49"/>
      <x:c r="P30" s="49"/>
      <x:c r="Q30" s="49"/>
      <x:c r="R30" s="49"/>
      <x:c r="S30" s="49"/>
      <x:c r="T30" s="52" t="str">
        <x:f>IF(A30="","",R30+S30)</x:f>
      </x:c>
      <x:c r="U30" s="53" t="str">
        <x:f>IF(A30="","",T30*J30)</x:f>
      </x:c>
      <x:c r="V30" s="49"/>
      <x:c r="W30" s="51" t="str">
        <x:f>IF(OR(A30="",S30&lt;=0),"",MIN(V30/S30,1))</x:f>
      </x:c>
      <x:c r="X30" s="54" t="str">
        <x:f>IF(OR(A30="",V30&lt;=0),"",S30/V30*30)</x:f>
      </x:c>
      <x:c r="Y30" s="50"/>
      <x:c r="Z30" s="34" t="str">
        <x:f>IF(A30="","",V30*(K30-J30-Y30))</x:f>
      </x:c>
      <x:c r="AA30" s="38" t="str">
        <x:f>IF(A30="","",IF(AND(H30&gt;0,V30&gt;0),"Pass","Hold"))</x:f>
      </x:c>
      <x:c r="AB30" s="38" t="str">
        <x:f>IF(A30="","",IF(AND(F30="Pass",G30="Pass",K30&gt;J30,OR(O30="Pass",P30="Pass",E30="Order-led",E30="Demo/order-led")),"Pass","Hold"))</x:f>
      </x:c>
      <x:c r="AC30" s="38" t="str">
        <x:f>IF(A30="","",IF(AND(AA30="Pass",AB30="Pass",L30&gt;='Field Inputs'!$E$32,OR(E30="Order-led",E30="Demo/order-led",W30&gt;='Field Inputs'!$E$29)),"CANDIDATE","HOLD"))</x:f>
      </x:c>
      <x:c r="AD30" s="38" t="str">
        <x:f>IF(A30="","",IF(AC30="CANDIDATE",IF(OR(E30="Order-led",E30="Demo/order-led"),"DEMO / ORDER ROUTE","STOCK CANDIDATE"),"HOLD / REWORK"))</x:f>
      </x:c>
      <x:c r="AE30" s="49"/>
      <x:c r="AF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50"/>
      <x:c r="K31" s="50"/>
      <x:c r="L31" s="51" t="str">
        <x:f>IF(OR(A31="",K31&lt;=0),"",(K31-J31)/K31)</x:f>
      </x:c>
      <x:c r="M31" s="49"/>
      <x:c r="N31" s="49"/>
      <x:c r="O31" s="49"/>
      <x:c r="P31" s="49"/>
      <x:c r="Q31" s="49"/>
      <x:c r="R31" s="49"/>
      <x:c r="S31" s="49"/>
      <x:c r="T31" s="52" t="str">
        <x:f>IF(A31="","",R31+S31)</x:f>
      </x:c>
      <x:c r="U31" s="53" t="str">
        <x:f>IF(A31="","",T31*J31)</x:f>
      </x:c>
      <x:c r="V31" s="49"/>
      <x:c r="W31" s="51" t="str">
        <x:f>IF(OR(A31="",S31&lt;=0),"",MIN(V31/S31,1))</x:f>
      </x:c>
      <x:c r="X31" s="54" t="str">
        <x:f>IF(OR(A31="",V31&lt;=0),"",S31/V31*30)</x:f>
      </x:c>
      <x:c r="Y31" s="50"/>
      <x:c r="Z31" s="34" t="str">
        <x:f>IF(A31="","",V31*(K31-J31-Y31))</x:f>
      </x:c>
      <x:c r="AA31" s="38" t="str">
        <x:f>IF(A31="","",IF(AND(H31&gt;0,V31&gt;0),"Pass","Hold"))</x:f>
      </x:c>
      <x:c r="AB31" s="38" t="str">
        <x:f>IF(A31="","",IF(AND(F31="Pass",G31="Pass",K31&gt;J31,OR(O31="Pass",P31="Pass",E31="Order-led",E31="Demo/order-led")),"Pass","Hold"))</x:f>
      </x:c>
      <x:c r="AC31" s="38" t="str">
        <x:f>IF(A31="","",IF(AND(AA31="Pass",AB31="Pass",L31&gt;='Field Inputs'!$E$32,OR(E31="Order-led",E31="Demo/order-led",W31&gt;='Field Inputs'!$E$29)),"CANDIDATE","HOLD"))</x:f>
      </x:c>
      <x:c r="AD31" s="38" t="str">
        <x:f>IF(A31="","",IF(AC31="CANDIDATE",IF(OR(E31="Order-led",E31="Demo/order-led"),"DEMO / ORDER ROUTE","STOCK CANDIDATE"),"HOLD / REWORK"))</x:f>
      </x:c>
      <x:c r="AE31" s="49"/>
      <x:c r="AF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50"/>
      <x:c r="K32" s="50"/>
      <x:c r="L32" s="51" t="str">
        <x:f>IF(OR(A32="",K32&lt;=0),"",(K32-J32)/K32)</x:f>
      </x:c>
      <x:c r="M32" s="49"/>
      <x:c r="N32" s="49"/>
      <x:c r="O32" s="49"/>
      <x:c r="P32" s="49"/>
      <x:c r="Q32" s="49"/>
      <x:c r="R32" s="49"/>
      <x:c r="S32" s="49"/>
      <x:c r="T32" s="52" t="str">
        <x:f>IF(A32="","",R32+S32)</x:f>
      </x:c>
      <x:c r="U32" s="53" t="str">
        <x:f>IF(A32="","",T32*J32)</x:f>
      </x:c>
      <x:c r="V32" s="49"/>
      <x:c r="W32" s="51" t="str">
        <x:f>IF(OR(A32="",S32&lt;=0),"",MIN(V32/S32,1))</x:f>
      </x:c>
      <x:c r="X32" s="54" t="str">
        <x:f>IF(OR(A32="",V32&lt;=0),"",S32/V32*30)</x:f>
      </x:c>
      <x:c r="Y32" s="50"/>
      <x:c r="Z32" s="34" t="str">
        <x:f>IF(A32="","",V32*(K32-J32-Y32))</x:f>
      </x:c>
      <x:c r="AA32" s="38" t="str">
        <x:f>IF(A32="","",IF(AND(H32&gt;0,V32&gt;0),"Pass","Hold"))</x:f>
      </x:c>
      <x:c r="AB32" s="38" t="str">
        <x:f>IF(A32="","",IF(AND(F32="Pass",G32="Pass",K32&gt;J32,OR(O32="Pass",P32="Pass",E32="Order-led",E32="Demo/order-led")),"Pass","Hold"))</x:f>
      </x:c>
      <x:c r="AC32" s="38" t="str">
        <x:f>IF(A32="","",IF(AND(AA32="Pass",AB32="Pass",L32&gt;='Field Inputs'!$E$32,OR(E32="Order-led",E32="Demo/order-led",W32&gt;='Field Inputs'!$E$29)),"CANDIDATE","HOLD"))</x:f>
      </x:c>
      <x:c r="AD32" s="38" t="str">
        <x:f>IF(A32="","",IF(AC32="CANDIDATE",IF(OR(E32="Order-led",E32="Demo/order-led"),"DEMO / ORDER ROUTE","STOCK CANDIDATE"),"HOLD / REWORK"))</x:f>
      </x:c>
      <x:c r="AE32" s="49"/>
      <x:c r="AF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50"/>
      <x:c r="K33" s="50"/>
      <x:c r="L33" s="51" t="str">
        <x:f>IF(OR(A33="",K33&lt;=0),"",(K33-J33)/K33)</x:f>
      </x:c>
      <x:c r="M33" s="49"/>
      <x:c r="N33" s="49"/>
      <x:c r="O33" s="49"/>
      <x:c r="P33" s="49"/>
      <x:c r="Q33" s="49"/>
      <x:c r="R33" s="49"/>
      <x:c r="S33" s="49"/>
      <x:c r="T33" s="52" t="str">
        <x:f>IF(A33="","",R33+S33)</x:f>
      </x:c>
      <x:c r="U33" s="53" t="str">
        <x:f>IF(A33="","",T33*J33)</x:f>
      </x:c>
      <x:c r="V33" s="49"/>
      <x:c r="W33" s="51" t="str">
        <x:f>IF(OR(A33="",S33&lt;=0),"",MIN(V33/S33,1))</x:f>
      </x:c>
      <x:c r="X33" s="54" t="str">
        <x:f>IF(OR(A33="",V33&lt;=0),"",S33/V33*30)</x:f>
      </x:c>
      <x:c r="Y33" s="50"/>
      <x:c r="Z33" s="34" t="str">
        <x:f>IF(A33="","",V33*(K33-J33-Y33))</x:f>
      </x:c>
      <x:c r="AA33" s="38" t="str">
        <x:f>IF(A33="","",IF(AND(H33&gt;0,V33&gt;0),"Pass","Hold"))</x:f>
      </x:c>
      <x:c r="AB33" s="38" t="str">
        <x:f>IF(A33="","",IF(AND(F33="Pass",G33="Pass",K33&gt;J33,OR(O33="Pass",P33="Pass",E33="Order-led",E33="Demo/order-led")),"Pass","Hold"))</x:f>
      </x:c>
      <x:c r="AC33" s="38" t="str">
        <x:f>IF(A33="","",IF(AND(AA33="Pass",AB33="Pass",L33&gt;='Field Inputs'!$E$32,OR(E33="Order-led",E33="Demo/order-led",W33&gt;='Field Inputs'!$E$29)),"CANDIDATE","HOLD"))</x:f>
      </x:c>
      <x:c r="AD33" s="38" t="str">
        <x:f>IF(A33="","",IF(AC33="CANDIDATE",IF(OR(E33="Order-led",E33="Demo/order-led"),"DEMO / ORDER ROUTE","STOCK CANDIDATE"),"HOLD / REWORK"))</x:f>
      </x:c>
      <x:c r="AE33" s="49"/>
      <x:c r="AF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50"/>
      <x:c r="K34" s="50"/>
      <x:c r="L34" s="51" t="str">
        <x:f>IF(OR(A34="",K34&lt;=0),"",(K34-J34)/K34)</x:f>
      </x:c>
      <x:c r="M34" s="49"/>
      <x:c r="N34" s="49"/>
      <x:c r="O34" s="49"/>
      <x:c r="P34" s="49"/>
      <x:c r="Q34" s="49"/>
      <x:c r="R34" s="49"/>
      <x:c r="S34" s="49"/>
      <x:c r="T34" s="52" t="str">
        <x:f>IF(A34="","",R34+S34)</x:f>
      </x:c>
      <x:c r="U34" s="53" t="str">
        <x:f>IF(A34="","",T34*J34)</x:f>
      </x:c>
      <x:c r="V34" s="49"/>
      <x:c r="W34" s="51" t="str">
        <x:f>IF(OR(A34="",S34&lt;=0),"",MIN(V34/S34,1))</x:f>
      </x:c>
      <x:c r="X34" s="54" t="str">
        <x:f>IF(OR(A34="",V34&lt;=0),"",S34/V34*30)</x:f>
      </x:c>
      <x:c r="Y34" s="50"/>
      <x:c r="Z34" s="34" t="str">
        <x:f>IF(A34="","",V34*(K34-J34-Y34))</x:f>
      </x:c>
      <x:c r="AA34" s="38" t="str">
        <x:f>IF(A34="","",IF(AND(H34&gt;0,V34&gt;0),"Pass","Hold"))</x:f>
      </x:c>
      <x:c r="AB34" s="38" t="str">
        <x:f>IF(A34="","",IF(AND(F34="Pass",G34="Pass",K34&gt;J34,OR(O34="Pass",P34="Pass",E34="Order-led",E34="Demo/order-led")),"Pass","Hold"))</x:f>
      </x:c>
      <x:c r="AC34" s="38" t="str">
        <x:f>IF(A34="","",IF(AND(AA34="Pass",AB34="Pass",L34&gt;='Field Inputs'!$E$32,OR(E34="Order-led",E34="Demo/order-led",W34&gt;='Field Inputs'!$E$29)),"CANDIDATE","HOLD"))</x:f>
      </x:c>
      <x:c r="AD34" s="38" t="str">
        <x:f>IF(A34="","",IF(AC34="CANDIDATE",IF(OR(E34="Order-led",E34="Demo/order-led"),"DEMO / ORDER ROUTE","STOCK CANDIDATE"),"HOLD / REWORK"))</x:f>
      </x:c>
      <x:c r="AE34" s="49"/>
      <x:c r="AF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50"/>
      <x:c r="K35" s="50"/>
      <x:c r="L35" s="51" t="str">
        <x:f>IF(OR(A35="",K35&lt;=0),"",(K35-J35)/K35)</x:f>
      </x:c>
      <x:c r="M35" s="49"/>
      <x:c r="N35" s="49"/>
      <x:c r="O35" s="49"/>
      <x:c r="P35" s="49"/>
      <x:c r="Q35" s="49"/>
      <x:c r="R35" s="49"/>
      <x:c r="S35" s="49"/>
      <x:c r="T35" s="52" t="str">
        <x:f>IF(A35="","",R35+S35)</x:f>
      </x:c>
      <x:c r="U35" s="53" t="str">
        <x:f>IF(A35="","",T35*J35)</x:f>
      </x:c>
      <x:c r="V35" s="49"/>
      <x:c r="W35" s="51" t="str">
        <x:f>IF(OR(A35="",S35&lt;=0),"",MIN(V35/S35,1))</x:f>
      </x:c>
      <x:c r="X35" s="54" t="str">
        <x:f>IF(OR(A35="",V35&lt;=0),"",S35/V35*30)</x:f>
      </x:c>
      <x:c r="Y35" s="50"/>
      <x:c r="Z35" s="34" t="str">
        <x:f>IF(A35="","",V35*(K35-J35-Y35))</x:f>
      </x:c>
      <x:c r="AA35" s="38" t="str">
        <x:f>IF(A35="","",IF(AND(H35&gt;0,V35&gt;0),"Pass","Hold"))</x:f>
      </x:c>
      <x:c r="AB35" s="38" t="str">
        <x:f>IF(A35="","",IF(AND(F35="Pass",G35="Pass",K35&gt;J35,OR(O35="Pass",P35="Pass",E35="Order-led",E35="Demo/order-led")),"Pass","Hold"))</x:f>
      </x:c>
      <x:c r="AC35" s="38" t="str">
        <x:f>IF(A35="","",IF(AND(AA35="Pass",AB35="Pass",L35&gt;='Field Inputs'!$E$32,OR(E35="Order-led",E35="Demo/order-led",W35&gt;='Field Inputs'!$E$29)),"CANDIDATE","HOLD"))</x:f>
      </x:c>
      <x:c r="AD35" s="38" t="str">
        <x:f>IF(A35="","",IF(AC35="CANDIDATE",IF(OR(E35="Order-led",E35="Demo/order-led"),"DEMO / ORDER ROUTE","STOCK CANDIDATE"),"HOLD / REWORK"))</x:f>
      </x:c>
      <x:c r="AE35" s="49"/>
      <x:c r="AF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50"/>
      <x:c r="K36" s="50"/>
      <x:c r="L36" s="51" t="str">
        <x:f>IF(OR(A36="",K36&lt;=0),"",(K36-J36)/K36)</x:f>
      </x:c>
      <x:c r="M36" s="49"/>
      <x:c r="N36" s="49"/>
      <x:c r="O36" s="49"/>
      <x:c r="P36" s="49"/>
      <x:c r="Q36" s="49"/>
      <x:c r="R36" s="49"/>
      <x:c r="S36" s="49"/>
      <x:c r="T36" s="52" t="str">
        <x:f>IF(A36="","",R36+S36)</x:f>
      </x:c>
      <x:c r="U36" s="53" t="str">
        <x:f>IF(A36="","",T36*J36)</x:f>
      </x:c>
      <x:c r="V36" s="49"/>
      <x:c r="W36" s="51" t="str">
        <x:f>IF(OR(A36="",S36&lt;=0),"",MIN(V36/S36,1))</x:f>
      </x:c>
      <x:c r="X36" s="54" t="str">
        <x:f>IF(OR(A36="",V36&lt;=0),"",S36/V36*30)</x:f>
      </x:c>
      <x:c r="Y36" s="50"/>
      <x:c r="Z36" s="34" t="str">
        <x:f>IF(A36="","",V36*(K36-J36-Y36))</x:f>
      </x:c>
      <x:c r="AA36" s="38" t="str">
        <x:f>IF(A36="","",IF(AND(H36&gt;0,V36&gt;0),"Pass","Hold"))</x:f>
      </x:c>
      <x:c r="AB36" s="38" t="str">
        <x:f>IF(A36="","",IF(AND(F36="Pass",G36="Pass",K36&gt;J36,OR(O36="Pass",P36="Pass",E36="Order-led",E36="Demo/order-led")),"Pass","Hold"))</x:f>
      </x:c>
      <x:c r="AC36" s="38" t="str">
        <x:f>IF(A36="","",IF(AND(AA36="Pass",AB36="Pass",L36&gt;='Field Inputs'!$E$32,OR(E36="Order-led",E36="Demo/order-led",W36&gt;='Field Inputs'!$E$29)),"CANDIDATE","HOLD"))</x:f>
      </x:c>
      <x:c r="AD36" s="38" t="str">
        <x:f>IF(A36="","",IF(AC36="CANDIDATE",IF(OR(E36="Order-led",E36="Demo/order-led"),"DEMO / ORDER ROUTE","STOCK CANDIDATE"),"HOLD / REWORK"))</x:f>
      </x:c>
      <x:c r="AE36" s="49"/>
      <x:c r="AF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50"/>
      <x:c r="K37" s="50"/>
      <x:c r="L37" s="51" t="str">
        <x:f>IF(OR(A37="",K37&lt;=0),"",(K37-J37)/K37)</x:f>
      </x:c>
      <x:c r="M37" s="49"/>
      <x:c r="N37" s="49"/>
      <x:c r="O37" s="49"/>
      <x:c r="P37" s="49"/>
      <x:c r="Q37" s="49"/>
      <x:c r="R37" s="49"/>
      <x:c r="S37" s="49"/>
      <x:c r="T37" s="52" t="str">
        <x:f>IF(A37="","",R37+S37)</x:f>
      </x:c>
      <x:c r="U37" s="53" t="str">
        <x:f>IF(A37="","",T37*J37)</x:f>
      </x:c>
      <x:c r="V37" s="49"/>
      <x:c r="W37" s="51" t="str">
        <x:f>IF(OR(A37="",S37&lt;=0),"",MIN(V37/S37,1))</x:f>
      </x:c>
      <x:c r="X37" s="54" t="str">
        <x:f>IF(OR(A37="",V37&lt;=0),"",S37/V37*30)</x:f>
      </x:c>
      <x:c r="Y37" s="50"/>
      <x:c r="Z37" s="34" t="str">
        <x:f>IF(A37="","",V37*(K37-J37-Y37))</x:f>
      </x:c>
      <x:c r="AA37" s="38" t="str">
        <x:f>IF(A37="","",IF(AND(H37&gt;0,V37&gt;0),"Pass","Hold"))</x:f>
      </x:c>
      <x:c r="AB37" s="38" t="str">
        <x:f>IF(A37="","",IF(AND(F37="Pass",G37="Pass",K37&gt;J37,OR(O37="Pass",P37="Pass",E37="Order-led",E37="Demo/order-led")),"Pass","Hold"))</x:f>
      </x:c>
      <x:c r="AC37" s="38" t="str">
        <x:f>IF(A37="","",IF(AND(AA37="Pass",AB37="Pass",L37&gt;='Field Inputs'!$E$32,OR(E37="Order-led",E37="Demo/order-led",W37&gt;='Field Inputs'!$E$29)),"CANDIDATE","HOLD"))</x:f>
      </x:c>
      <x:c r="AD37" s="38" t="str">
        <x:f>IF(A37="","",IF(AC37="CANDIDATE",IF(OR(E37="Order-led",E37="Demo/order-led"),"DEMO / ORDER ROUTE","STOCK CANDIDATE"),"HOLD / REWORK"))</x:f>
      </x:c>
      <x:c r="AE37" s="49"/>
      <x:c r="AF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50"/>
      <x:c r="K38" s="50"/>
      <x:c r="L38" s="51" t="str">
        <x:f>IF(OR(A38="",K38&lt;=0),"",(K38-J38)/K38)</x:f>
      </x:c>
      <x:c r="M38" s="49"/>
      <x:c r="N38" s="49"/>
      <x:c r="O38" s="49"/>
      <x:c r="P38" s="49"/>
      <x:c r="Q38" s="49"/>
      <x:c r="R38" s="49"/>
      <x:c r="S38" s="49"/>
      <x:c r="T38" s="52" t="str">
        <x:f>IF(A38="","",R38+S38)</x:f>
      </x:c>
      <x:c r="U38" s="53" t="str">
        <x:f>IF(A38="","",T38*J38)</x:f>
      </x:c>
      <x:c r="V38" s="49"/>
      <x:c r="W38" s="51" t="str">
        <x:f>IF(OR(A38="",S38&lt;=0),"",MIN(V38/S38,1))</x:f>
      </x:c>
      <x:c r="X38" s="54" t="str">
        <x:f>IF(OR(A38="",V38&lt;=0),"",S38/V38*30)</x:f>
      </x:c>
      <x:c r="Y38" s="50"/>
      <x:c r="Z38" s="34" t="str">
        <x:f>IF(A38="","",V38*(K38-J38-Y38))</x:f>
      </x:c>
      <x:c r="AA38" s="38" t="str">
        <x:f>IF(A38="","",IF(AND(H38&gt;0,V38&gt;0),"Pass","Hold"))</x:f>
      </x:c>
      <x:c r="AB38" s="38" t="str">
        <x:f>IF(A38="","",IF(AND(F38="Pass",G38="Pass",K38&gt;J38,OR(O38="Pass",P38="Pass",E38="Order-led",E38="Demo/order-led")),"Pass","Hold"))</x:f>
      </x:c>
      <x:c r="AC38" s="38" t="str">
        <x:f>IF(A38="","",IF(AND(AA38="Pass",AB38="Pass",L38&gt;='Field Inputs'!$E$32,OR(E38="Order-led",E38="Demo/order-led",W38&gt;='Field Inputs'!$E$29)),"CANDIDATE","HOLD"))</x:f>
      </x:c>
      <x:c r="AD38" s="38" t="str">
        <x:f>IF(A38="","",IF(AC38="CANDIDATE",IF(OR(E38="Order-led",E38="Demo/order-led"),"DEMO / ORDER ROUTE","STOCK CANDIDATE"),"HOLD / REWORK"))</x:f>
      </x:c>
      <x:c r="AE38" s="49"/>
      <x:c r="AF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50"/>
      <x:c r="K39" s="50"/>
      <x:c r="L39" s="51" t="str">
        <x:f>IF(OR(A39="",K39&lt;=0),"",(K39-J39)/K39)</x:f>
      </x:c>
      <x:c r="M39" s="49"/>
      <x:c r="N39" s="49"/>
      <x:c r="O39" s="49"/>
      <x:c r="P39" s="49"/>
      <x:c r="Q39" s="49"/>
      <x:c r="R39" s="49"/>
      <x:c r="S39" s="49"/>
      <x:c r="T39" s="52" t="str">
        <x:f>IF(A39="","",R39+S39)</x:f>
      </x:c>
      <x:c r="U39" s="53" t="str">
        <x:f>IF(A39="","",T39*J39)</x:f>
      </x:c>
      <x:c r="V39" s="49"/>
      <x:c r="W39" s="51" t="str">
        <x:f>IF(OR(A39="",S39&lt;=0),"",MIN(V39/S39,1))</x:f>
      </x:c>
      <x:c r="X39" s="54" t="str">
        <x:f>IF(OR(A39="",V39&lt;=0),"",S39/V39*30)</x:f>
      </x:c>
      <x:c r="Y39" s="50"/>
      <x:c r="Z39" s="34" t="str">
        <x:f>IF(A39="","",V39*(K39-J39-Y39))</x:f>
      </x:c>
      <x:c r="AA39" s="38" t="str">
        <x:f>IF(A39="","",IF(AND(H39&gt;0,V39&gt;0),"Pass","Hold"))</x:f>
      </x:c>
      <x:c r="AB39" s="38" t="str">
        <x:f>IF(A39="","",IF(AND(F39="Pass",G39="Pass",K39&gt;J39,OR(O39="Pass",P39="Pass",E39="Order-led",E39="Demo/order-led")),"Pass","Hold"))</x:f>
      </x:c>
      <x:c r="AC39" s="38" t="str">
        <x:f>IF(A39="","",IF(AND(AA39="Pass",AB39="Pass",L39&gt;='Field Inputs'!$E$32,OR(E39="Order-led",E39="Demo/order-led",W39&gt;='Field Inputs'!$E$29)),"CANDIDATE","HOLD"))</x:f>
      </x:c>
      <x:c r="AD39" s="38" t="str">
        <x:f>IF(A39="","",IF(AC39="CANDIDATE",IF(OR(E39="Order-led",E39="Demo/order-led"),"DEMO / ORDER ROUTE","STOCK CANDIDATE"),"HOLD / REWORK"))</x:f>
      </x:c>
      <x:c r="AE39" s="49"/>
      <x:c r="AF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50"/>
      <x:c r="K40" s="50"/>
      <x:c r="L40" s="51" t="str">
        <x:f>IF(OR(A40="",K40&lt;=0),"",(K40-J40)/K40)</x:f>
      </x:c>
      <x:c r="M40" s="49"/>
      <x:c r="N40" s="49"/>
      <x:c r="O40" s="49"/>
      <x:c r="P40" s="49"/>
      <x:c r="Q40" s="49"/>
      <x:c r="R40" s="49"/>
      <x:c r="S40" s="49"/>
      <x:c r="T40" s="52" t="str">
        <x:f>IF(A40="","",R40+S40)</x:f>
      </x:c>
      <x:c r="U40" s="53" t="str">
        <x:f>IF(A40="","",T40*J40)</x:f>
      </x:c>
      <x:c r="V40" s="49"/>
      <x:c r="W40" s="51" t="str">
        <x:f>IF(OR(A40="",S40&lt;=0),"",MIN(V40/S40,1))</x:f>
      </x:c>
      <x:c r="X40" s="54" t="str">
        <x:f>IF(OR(A40="",V40&lt;=0),"",S40/V40*30)</x:f>
      </x:c>
      <x:c r="Y40" s="50"/>
      <x:c r="Z40" s="34" t="str">
        <x:f>IF(A40="","",V40*(K40-J40-Y40))</x:f>
      </x:c>
      <x:c r="AA40" s="38" t="str">
        <x:f>IF(A40="","",IF(AND(H40&gt;0,V40&gt;0),"Pass","Hold"))</x:f>
      </x:c>
      <x:c r="AB40" s="38" t="str">
        <x:f>IF(A40="","",IF(AND(F40="Pass",G40="Pass",K40&gt;J40,OR(O40="Pass",P40="Pass",E40="Order-led",E40="Demo/order-led")),"Pass","Hold"))</x:f>
      </x:c>
      <x:c r="AC40" s="38" t="str">
        <x:f>IF(A40="","",IF(AND(AA40="Pass",AB40="Pass",L40&gt;='Field Inputs'!$E$32,OR(E40="Order-led",E40="Demo/order-led",W40&gt;='Field Inputs'!$E$29)),"CANDIDATE","HOLD"))</x:f>
      </x:c>
      <x:c r="AD40" s="38" t="str">
        <x:f>IF(A40="","",IF(AC40="CANDIDATE",IF(OR(E40="Order-led",E40="Demo/order-led"),"DEMO / ORDER ROUTE","STOCK CANDIDATE"),"HOLD / REWORK"))</x:f>
      </x:c>
      <x:c r="AE40" s="49"/>
      <x:c r="AF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50"/>
      <x:c r="K41" s="50"/>
      <x:c r="L41" s="51" t="str">
        <x:f>IF(OR(A41="",K41&lt;=0),"",(K41-J41)/K41)</x:f>
      </x:c>
      <x:c r="M41" s="49"/>
      <x:c r="N41" s="49"/>
      <x:c r="O41" s="49"/>
      <x:c r="P41" s="49"/>
      <x:c r="Q41" s="49"/>
      <x:c r="R41" s="49"/>
      <x:c r="S41" s="49"/>
      <x:c r="T41" s="52" t="str">
        <x:f>IF(A41="","",R41+S41)</x:f>
      </x:c>
      <x:c r="U41" s="53" t="str">
        <x:f>IF(A41="","",T41*J41)</x:f>
      </x:c>
      <x:c r="V41" s="49"/>
      <x:c r="W41" s="51" t="str">
        <x:f>IF(OR(A41="",S41&lt;=0),"",MIN(V41/S41,1))</x:f>
      </x:c>
      <x:c r="X41" s="54" t="str">
        <x:f>IF(OR(A41="",V41&lt;=0),"",S41/V41*30)</x:f>
      </x:c>
      <x:c r="Y41" s="50"/>
      <x:c r="Z41" s="34" t="str">
        <x:f>IF(A41="","",V41*(K41-J41-Y41))</x:f>
      </x:c>
      <x:c r="AA41" s="38" t="str">
        <x:f>IF(A41="","",IF(AND(H41&gt;0,V41&gt;0),"Pass","Hold"))</x:f>
      </x:c>
      <x:c r="AB41" s="38" t="str">
        <x:f>IF(A41="","",IF(AND(F41="Pass",G41="Pass",K41&gt;J41,OR(O41="Pass",P41="Pass",E41="Order-led",E41="Demo/order-led")),"Pass","Hold"))</x:f>
      </x:c>
      <x:c r="AC41" s="38" t="str">
        <x:f>IF(A41="","",IF(AND(AA41="Pass",AB41="Pass",L41&gt;='Field Inputs'!$E$32,OR(E41="Order-led",E41="Demo/order-led",W41&gt;='Field Inputs'!$E$29)),"CANDIDATE","HOLD"))</x:f>
      </x:c>
      <x:c r="AD41" s="38" t="str">
        <x:f>IF(A41="","",IF(AC41="CANDIDATE",IF(OR(E41="Order-led",E41="Demo/order-led"),"DEMO / ORDER ROUTE","STOCK CANDIDATE"),"HOLD / REWORK"))</x:f>
      </x:c>
      <x:c r="AE41" s="49"/>
      <x:c r="AF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50"/>
      <x:c r="K42" s="50"/>
      <x:c r="L42" s="51" t="str">
        <x:f>IF(OR(A42="",K42&lt;=0),"",(K42-J42)/K42)</x:f>
      </x:c>
      <x:c r="M42" s="49"/>
      <x:c r="N42" s="49"/>
      <x:c r="O42" s="49"/>
      <x:c r="P42" s="49"/>
      <x:c r="Q42" s="49"/>
      <x:c r="R42" s="49"/>
      <x:c r="S42" s="49"/>
      <x:c r="T42" s="52" t="str">
        <x:f>IF(A42="","",R42+S42)</x:f>
      </x:c>
      <x:c r="U42" s="53" t="str">
        <x:f>IF(A42="","",T42*J42)</x:f>
      </x:c>
      <x:c r="V42" s="49"/>
      <x:c r="W42" s="51" t="str">
        <x:f>IF(OR(A42="",S42&lt;=0),"",MIN(V42/S42,1))</x:f>
      </x:c>
      <x:c r="X42" s="54" t="str">
        <x:f>IF(OR(A42="",V42&lt;=0),"",S42/V42*30)</x:f>
      </x:c>
      <x:c r="Y42" s="50"/>
      <x:c r="Z42" s="34" t="str">
        <x:f>IF(A42="","",V42*(K42-J42-Y42))</x:f>
      </x:c>
      <x:c r="AA42" s="38" t="str">
        <x:f>IF(A42="","",IF(AND(H42&gt;0,V42&gt;0),"Pass","Hold"))</x:f>
      </x:c>
      <x:c r="AB42" s="38" t="str">
        <x:f>IF(A42="","",IF(AND(F42="Pass",G42="Pass",K42&gt;J42,OR(O42="Pass",P42="Pass",E42="Order-led",E42="Demo/order-led")),"Pass","Hold"))</x:f>
      </x:c>
      <x:c r="AC42" s="38" t="str">
        <x:f>IF(A42="","",IF(AND(AA42="Pass",AB42="Pass",L42&gt;='Field Inputs'!$E$32,OR(E42="Order-led",E42="Demo/order-led",W42&gt;='Field Inputs'!$E$29)),"CANDIDATE","HOLD"))</x:f>
      </x:c>
      <x:c r="AD42" s="38" t="str">
        <x:f>IF(A42="","",IF(AC42="CANDIDATE",IF(OR(E42="Order-led",E42="Demo/order-led"),"DEMO / ORDER ROUTE","STOCK CANDIDATE"),"HOLD / REWORK"))</x:f>
      </x:c>
      <x:c r="AE42" s="49"/>
      <x:c r="AF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50"/>
      <x:c r="K43" s="50"/>
      <x:c r="L43" s="51" t="str">
        <x:f>IF(OR(A43="",K43&lt;=0),"",(K43-J43)/K43)</x:f>
      </x:c>
      <x:c r="M43" s="49"/>
      <x:c r="N43" s="49"/>
      <x:c r="O43" s="49"/>
      <x:c r="P43" s="49"/>
      <x:c r="Q43" s="49"/>
      <x:c r="R43" s="49"/>
      <x:c r="S43" s="49"/>
      <x:c r="T43" s="52" t="str">
        <x:f>IF(A43="","",R43+S43)</x:f>
      </x:c>
      <x:c r="U43" s="53" t="str">
        <x:f>IF(A43="","",T43*J43)</x:f>
      </x:c>
      <x:c r="V43" s="49"/>
      <x:c r="W43" s="51" t="str">
        <x:f>IF(OR(A43="",S43&lt;=0),"",MIN(V43/S43,1))</x:f>
      </x:c>
      <x:c r="X43" s="54" t="str">
        <x:f>IF(OR(A43="",V43&lt;=0),"",S43/V43*30)</x:f>
      </x:c>
      <x:c r="Y43" s="50"/>
      <x:c r="Z43" s="34" t="str">
        <x:f>IF(A43="","",V43*(K43-J43-Y43))</x:f>
      </x:c>
      <x:c r="AA43" s="38" t="str">
        <x:f>IF(A43="","",IF(AND(H43&gt;0,V43&gt;0),"Pass","Hold"))</x:f>
      </x:c>
      <x:c r="AB43" s="38" t="str">
        <x:f>IF(A43="","",IF(AND(F43="Pass",G43="Pass",K43&gt;J43,OR(O43="Pass",P43="Pass",E43="Order-led",E43="Demo/order-led")),"Pass","Hold"))</x:f>
      </x:c>
      <x:c r="AC43" s="38" t="str">
        <x:f>IF(A43="","",IF(AND(AA43="Pass",AB43="Pass",L43&gt;='Field Inputs'!$E$32,OR(E43="Order-led",E43="Demo/order-led",W43&gt;='Field Inputs'!$E$29)),"CANDIDATE","HOLD"))</x:f>
      </x:c>
      <x:c r="AD43" s="38" t="str">
        <x:f>IF(A43="","",IF(AC43="CANDIDATE",IF(OR(E43="Order-led",E43="Demo/order-led"),"DEMO / ORDER ROUTE","STOCK CANDIDATE"),"HOLD / REWORK"))</x:f>
      </x:c>
      <x:c r="AE43" s="49"/>
      <x:c r="AF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50"/>
      <x:c r="K44" s="50"/>
      <x:c r="L44" s="51" t="str">
        <x:f>IF(OR(A44="",K44&lt;=0),"",(K44-J44)/K44)</x:f>
      </x:c>
      <x:c r="M44" s="49"/>
      <x:c r="N44" s="49"/>
      <x:c r="O44" s="49"/>
      <x:c r="P44" s="49"/>
      <x:c r="Q44" s="49"/>
      <x:c r="R44" s="49"/>
      <x:c r="S44" s="49"/>
      <x:c r="T44" s="52" t="str">
        <x:f>IF(A44="","",R44+S44)</x:f>
      </x:c>
      <x:c r="U44" s="53" t="str">
        <x:f>IF(A44="","",T44*J44)</x:f>
      </x:c>
      <x:c r="V44" s="49"/>
      <x:c r="W44" s="51" t="str">
        <x:f>IF(OR(A44="",S44&lt;=0),"",MIN(V44/S44,1))</x:f>
      </x:c>
      <x:c r="X44" s="54" t="str">
        <x:f>IF(OR(A44="",V44&lt;=0),"",S44/V44*30)</x:f>
      </x:c>
      <x:c r="Y44" s="50"/>
      <x:c r="Z44" s="34" t="str">
        <x:f>IF(A44="","",V44*(K44-J44-Y44))</x:f>
      </x:c>
      <x:c r="AA44" s="38" t="str">
        <x:f>IF(A44="","",IF(AND(H44&gt;0,V44&gt;0),"Pass","Hold"))</x:f>
      </x:c>
      <x:c r="AB44" s="38" t="str">
        <x:f>IF(A44="","",IF(AND(F44="Pass",G44="Pass",K44&gt;J44,OR(O44="Pass",P44="Pass",E44="Order-led",E44="Demo/order-led")),"Pass","Hold"))</x:f>
      </x:c>
      <x:c r="AC44" s="38" t="str">
        <x:f>IF(A44="","",IF(AND(AA44="Pass",AB44="Pass",L44&gt;='Field Inputs'!$E$32,OR(E44="Order-led",E44="Demo/order-led",W44&gt;='Field Inputs'!$E$29)),"CANDIDATE","HOLD"))</x:f>
      </x:c>
      <x:c r="AD44" s="38" t="str">
        <x:f>IF(A44="","",IF(AC44="CANDIDATE",IF(OR(E44="Order-led",E44="Demo/order-led"),"DEMO / ORDER ROUTE","STOCK CANDIDATE"),"HOLD / REWORK"))</x:f>
      </x:c>
      <x:c r="AE44" s="49"/>
      <x:c r="AF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50"/>
      <x:c r="K45" s="50"/>
      <x:c r="L45" s="51" t="str">
        <x:f>IF(OR(A45="",K45&lt;=0),"",(K45-J45)/K45)</x:f>
      </x:c>
      <x:c r="M45" s="49"/>
      <x:c r="N45" s="49"/>
      <x:c r="O45" s="49"/>
      <x:c r="P45" s="49"/>
      <x:c r="Q45" s="49"/>
      <x:c r="R45" s="49"/>
      <x:c r="S45" s="49"/>
      <x:c r="T45" s="52" t="str">
        <x:f>IF(A45="","",R45+S45)</x:f>
      </x:c>
      <x:c r="U45" s="53" t="str">
        <x:f>IF(A45="","",T45*J45)</x:f>
      </x:c>
      <x:c r="V45" s="49"/>
      <x:c r="W45" s="51" t="str">
        <x:f>IF(OR(A45="",S45&lt;=0),"",MIN(V45/S45,1))</x:f>
      </x:c>
      <x:c r="X45" s="54" t="str">
        <x:f>IF(OR(A45="",V45&lt;=0),"",S45/V45*30)</x:f>
      </x:c>
      <x:c r="Y45" s="50"/>
      <x:c r="Z45" s="34" t="str">
        <x:f>IF(A45="","",V45*(K45-J45-Y45))</x:f>
      </x:c>
      <x:c r="AA45" s="38" t="str">
        <x:f>IF(A45="","",IF(AND(H45&gt;0,V45&gt;0),"Pass","Hold"))</x:f>
      </x:c>
      <x:c r="AB45" s="38" t="str">
        <x:f>IF(A45="","",IF(AND(F45="Pass",G45="Pass",K45&gt;J45,OR(O45="Pass",P45="Pass",E45="Order-led",E45="Demo/order-led")),"Pass","Hold"))</x:f>
      </x:c>
      <x:c r="AC45" s="38" t="str">
        <x:f>IF(A45="","",IF(AND(AA45="Pass",AB45="Pass",L45&gt;='Field Inputs'!$E$32,OR(E45="Order-led",E45="Demo/order-led",W45&gt;='Field Inputs'!$E$29)),"CANDIDATE","HOLD"))</x:f>
      </x:c>
      <x:c r="AD45" s="38" t="str">
        <x:f>IF(A45="","",IF(AC45="CANDIDATE",IF(OR(E45="Order-led",E45="Demo/order-led"),"DEMO / ORDER ROUTE","STOCK CANDIDATE"),"HOLD / REWORK"))</x:f>
      </x:c>
      <x:c r="AE45" s="49"/>
      <x:c r="AF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50"/>
      <x:c r="K46" s="50"/>
      <x:c r="L46" s="51" t="str">
        <x:f>IF(OR(A46="",K46&lt;=0),"",(K46-J46)/K46)</x:f>
      </x:c>
      <x:c r="M46" s="49"/>
      <x:c r="N46" s="49"/>
      <x:c r="O46" s="49"/>
      <x:c r="P46" s="49"/>
      <x:c r="Q46" s="49"/>
      <x:c r="R46" s="49"/>
      <x:c r="S46" s="49"/>
      <x:c r="T46" s="52" t="str">
        <x:f>IF(A46="","",R46+S46)</x:f>
      </x:c>
      <x:c r="U46" s="53" t="str">
        <x:f>IF(A46="","",T46*J46)</x:f>
      </x:c>
      <x:c r="V46" s="49"/>
      <x:c r="W46" s="51" t="str">
        <x:f>IF(OR(A46="",S46&lt;=0),"",MIN(V46/S46,1))</x:f>
      </x:c>
      <x:c r="X46" s="54" t="str">
        <x:f>IF(OR(A46="",V46&lt;=0),"",S46/V46*30)</x:f>
      </x:c>
      <x:c r="Y46" s="50"/>
      <x:c r="Z46" s="34" t="str">
        <x:f>IF(A46="","",V46*(K46-J46-Y46))</x:f>
      </x:c>
      <x:c r="AA46" s="38" t="str">
        <x:f>IF(A46="","",IF(AND(H46&gt;0,V46&gt;0),"Pass","Hold"))</x:f>
      </x:c>
      <x:c r="AB46" s="38" t="str">
        <x:f>IF(A46="","",IF(AND(F46="Pass",G46="Pass",K46&gt;J46,OR(O46="Pass",P46="Pass",E46="Order-led",E46="Demo/order-led")),"Pass","Hold"))</x:f>
      </x:c>
      <x:c r="AC46" s="38" t="str">
        <x:f>IF(A46="","",IF(AND(AA46="Pass",AB46="Pass",L46&gt;='Field Inputs'!$E$32,OR(E46="Order-led",E46="Demo/order-led",W46&gt;='Field Inputs'!$E$29)),"CANDIDATE","HOLD"))</x:f>
      </x:c>
      <x:c r="AD46" s="38" t="str">
        <x:f>IF(A46="","",IF(AC46="CANDIDATE",IF(OR(E46="Order-led",E46="Demo/order-led"),"DEMO / ORDER ROUTE","STOCK CANDIDATE"),"HOLD / REWORK"))</x:f>
      </x:c>
      <x:c r="AE46" s="49"/>
      <x:c r="AF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50"/>
      <x:c r="K47" s="50"/>
      <x:c r="L47" s="51" t="str">
        <x:f>IF(OR(A47="",K47&lt;=0),"",(K47-J47)/K47)</x:f>
      </x:c>
      <x:c r="M47" s="49"/>
      <x:c r="N47" s="49"/>
      <x:c r="O47" s="49"/>
      <x:c r="P47" s="49"/>
      <x:c r="Q47" s="49"/>
      <x:c r="R47" s="49"/>
      <x:c r="S47" s="49"/>
      <x:c r="T47" s="52" t="str">
        <x:f>IF(A47="","",R47+S47)</x:f>
      </x:c>
      <x:c r="U47" s="53" t="str">
        <x:f>IF(A47="","",T47*J47)</x:f>
      </x:c>
      <x:c r="V47" s="49"/>
      <x:c r="W47" s="51" t="str">
        <x:f>IF(OR(A47="",S47&lt;=0),"",MIN(V47/S47,1))</x:f>
      </x:c>
      <x:c r="X47" s="54" t="str">
        <x:f>IF(OR(A47="",V47&lt;=0),"",S47/V47*30)</x:f>
      </x:c>
      <x:c r="Y47" s="50"/>
      <x:c r="Z47" s="34" t="str">
        <x:f>IF(A47="","",V47*(K47-J47-Y47))</x:f>
      </x:c>
      <x:c r="AA47" s="38" t="str">
        <x:f>IF(A47="","",IF(AND(H47&gt;0,V47&gt;0),"Pass","Hold"))</x:f>
      </x:c>
      <x:c r="AB47" s="38" t="str">
        <x:f>IF(A47="","",IF(AND(F47="Pass",G47="Pass",K47&gt;J47,OR(O47="Pass",P47="Pass",E47="Order-led",E47="Demo/order-led")),"Pass","Hold"))</x:f>
      </x:c>
      <x:c r="AC47" s="38" t="str">
        <x:f>IF(A47="","",IF(AND(AA47="Pass",AB47="Pass",L47&gt;='Field Inputs'!$E$32,OR(E47="Order-led",E47="Demo/order-led",W47&gt;='Field Inputs'!$E$29)),"CANDIDATE","HOLD"))</x:f>
      </x:c>
      <x:c r="AD47" s="38" t="str">
        <x:f>IF(A47="","",IF(AC47="CANDIDATE",IF(OR(E47="Order-led",E47="Demo/order-led"),"DEMO / ORDER ROUTE","STOCK CANDIDATE"),"HOLD / REWORK"))</x:f>
      </x:c>
      <x:c r="AE47" s="49"/>
      <x:c r="AF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50"/>
      <x:c r="K48" s="50"/>
      <x:c r="L48" s="51" t="str">
        <x:f>IF(OR(A48="",K48&lt;=0),"",(K48-J48)/K48)</x:f>
      </x:c>
      <x:c r="M48" s="49"/>
      <x:c r="N48" s="49"/>
      <x:c r="O48" s="49"/>
      <x:c r="P48" s="49"/>
      <x:c r="Q48" s="49"/>
      <x:c r="R48" s="49"/>
      <x:c r="S48" s="49"/>
      <x:c r="T48" s="52" t="str">
        <x:f>IF(A48="","",R48+S48)</x:f>
      </x:c>
      <x:c r="U48" s="53" t="str">
        <x:f>IF(A48="","",T48*J48)</x:f>
      </x:c>
      <x:c r="V48" s="49"/>
      <x:c r="W48" s="51" t="str">
        <x:f>IF(OR(A48="",S48&lt;=0),"",MIN(V48/S48,1))</x:f>
      </x:c>
      <x:c r="X48" s="54" t="str">
        <x:f>IF(OR(A48="",V48&lt;=0),"",S48/V48*30)</x:f>
      </x:c>
      <x:c r="Y48" s="50"/>
      <x:c r="Z48" s="34" t="str">
        <x:f>IF(A48="","",V48*(K48-J48-Y48))</x:f>
      </x:c>
      <x:c r="AA48" s="38" t="str">
        <x:f>IF(A48="","",IF(AND(H48&gt;0,V48&gt;0),"Pass","Hold"))</x:f>
      </x:c>
      <x:c r="AB48" s="38" t="str">
        <x:f>IF(A48="","",IF(AND(F48="Pass",G48="Pass",K48&gt;J48,OR(O48="Pass",P48="Pass",E48="Order-led",E48="Demo/order-led")),"Pass","Hold"))</x:f>
      </x:c>
      <x:c r="AC48" s="38" t="str">
        <x:f>IF(A48="","",IF(AND(AA48="Pass",AB48="Pass",L48&gt;='Field Inputs'!$E$32,OR(E48="Order-led",E48="Demo/order-led",W48&gt;='Field Inputs'!$E$29)),"CANDIDATE","HOLD"))</x:f>
      </x:c>
      <x:c r="AD48" s="38" t="str">
        <x:f>IF(A48="","",IF(AC48="CANDIDATE",IF(OR(E48="Order-led",E48="Demo/order-led"),"DEMO / ORDER ROUTE","STOCK CANDIDATE"),"HOLD / REWORK"))</x:f>
      </x:c>
      <x:c r="AE48" s="49"/>
      <x:c r="AF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50"/>
      <x:c r="K49" s="50"/>
      <x:c r="L49" s="51" t="str">
        <x:f>IF(OR(A49="",K49&lt;=0),"",(K49-J49)/K49)</x:f>
      </x:c>
      <x:c r="M49" s="49"/>
      <x:c r="N49" s="49"/>
      <x:c r="O49" s="49"/>
      <x:c r="P49" s="49"/>
      <x:c r="Q49" s="49"/>
      <x:c r="R49" s="49"/>
      <x:c r="S49" s="49"/>
      <x:c r="T49" s="52" t="str">
        <x:f>IF(A49="","",R49+S49)</x:f>
      </x:c>
      <x:c r="U49" s="53" t="str">
        <x:f>IF(A49="","",T49*J49)</x:f>
      </x:c>
      <x:c r="V49" s="49"/>
      <x:c r="W49" s="51" t="str">
        <x:f>IF(OR(A49="",S49&lt;=0),"",MIN(V49/S49,1))</x:f>
      </x:c>
      <x:c r="X49" s="54" t="str">
        <x:f>IF(OR(A49="",V49&lt;=0),"",S49/V49*30)</x:f>
      </x:c>
      <x:c r="Y49" s="50"/>
      <x:c r="Z49" s="34" t="str">
        <x:f>IF(A49="","",V49*(K49-J49-Y49))</x:f>
      </x:c>
      <x:c r="AA49" s="38" t="str">
        <x:f>IF(A49="","",IF(AND(H49&gt;0,V49&gt;0),"Pass","Hold"))</x:f>
      </x:c>
      <x:c r="AB49" s="38" t="str">
        <x:f>IF(A49="","",IF(AND(F49="Pass",G49="Pass",K49&gt;J49,OR(O49="Pass",P49="Pass",E49="Order-led",E49="Demo/order-led")),"Pass","Hold"))</x:f>
      </x:c>
      <x:c r="AC49" s="38" t="str">
        <x:f>IF(A49="","",IF(AND(AA49="Pass",AB49="Pass",L49&gt;='Field Inputs'!$E$32,OR(E49="Order-led",E49="Demo/order-led",W49&gt;='Field Inputs'!$E$29)),"CANDIDATE","HOLD"))</x:f>
      </x:c>
      <x:c r="AD49" s="38" t="str">
        <x:f>IF(A49="","",IF(AC49="CANDIDATE",IF(OR(E49="Order-led",E49="Demo/order-led"),"DEMO / ORDER ROUTE","STOCK CANDIDATE"),"HOLD / REWORK"))</x:f>
      </x:c>
      <x:c r="AE49" s="49"/>
      <x:c r="AF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50"/>
      <x:c r="K50" s="50"/>
      <x:c r="L50" s="51" t="str">
        <x:f>IF(OR(A50="",K50&lt;=0),"",(K50-J50)/K50)</x:f>
      </x:c>
      <x:c r="M50" s="49"/>
      <x:c r="N50" s="49"/>
      <x:c r="O50" s="49"/>
      <x:c r="P50" s="49"/>
      <x:c r="Q50" s="49"/>
      <x:c r="R50" s="49"/>
      <x:c r="S50" s="49"/>
      <x:c r="T50" s="52" t="str">
        <x:f>IF(A50="","",R50+S50)</x:f>
      </x:c>
      <x:c r="U50" s="53" t="str">
        <x:f>IF(A50="","",T50*J50)</x:f>
      </x:c>
      <x:c r="V50" s="49"/>
      <x:c r="W50" s="51" t="str">
        <x:f>IF(OR(A50="",S50&lt;=0),"",MIN(V50/S50,1))</x:f>
      </x:c>
      <x:c r="X50" s="54" t="str">
        <x:f>IF(OR(A50="",V50&lt;=0),"",S50/V50*30)</x:f>
      </x:c>
      <x:c r="Y50" s="50"/>
      <x:c r="Z50" s="34" t="str">
        <x:f>IF(A50="","",V50*(K50-J50-Y50))</x:f>
      </x:c>
      <x:c r="AA50" s="38" t="str">
        <x:f>IF(A50="","",IF(AND(H50&gt;0,V50&gt;0),"Pass","Hold"))</x:f>
      </x:c>
      <x:c r="AB50" s="38" t="str">
        <x:f>IF(A50="","",IF(AND(F50="Pass",G50="Pass",K50&gt;J50,OR(O50="Pass",P50="Pass",E50="Order-led",E50="Demo/order-led")),"Pass","Hold"))</x:f>
      </x:c>
      <x:c r="AC50" s="38" t="str">
        <x:f>IF(A50="","",IF(AND(AA50="Pass",AB50="Pass",L50&gt;='Field Inputs'!$E$32,OR(E50="Order-led",E50="Demo/order-led",W50&gt;='Field Inputs'!$E$29)),"CANDIDATE","HOLD"))</x:f>
      </x:c>
      <x:c r="AD50" s="38" t="str">
        <x:f>IF(A50="","",IF(AC50="CANDIDATE",IF(OR(E50="Order-led",E50="Demo/order-led"),"DEMO / ORDER ROUTE","STOCK CANDIDATE"),"HOLD / REWORK"))</x:f>
      </x:c>
      <x:c r="AE50" s="49"/>
      <x:c r="AF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50"/>
      <x:c r="K51" s="50"/>
      <x:c r="L51" s="51" t="str">
        <x:f>IF(OR(A51="",K51&lt;=0),"",(K51-J51)/K51)</x:f>
      </x:c>
      <x:c r="M51" s="49"/>
      <x:c r="N51" s="49"/>
      <x:c r="O51" s="49"/>
      <x:c r="P51" s="49"/>
      <x:c r="Q51" s="49"/>
      <x:c r="R51" s="49"/>
      <x:c r="S51" s="49"/>
      <x:c r="T51" s="52" t="str">
        <x:f>IF(A51="","",R51+S51)</x:f>
      </x:c>
      <x:c r="U51" s="53" t="str">
        <x:f>IF(A51="","",T51*J51)</x:f>
      </x:c>
      <x:c r="V51" s="49"/>
      <x:c r="W51" s="51" t="str">
        <x:f>IF(OR(A51="",S51&lt;=0),"",MIN(V51/S51,1))</x:f>
      </x:c>
      <x:c r="X51" s="54" t="str">
        <x:f>IF(OR(A51="",V51&lt;=0),"",S51/V51*30)</x:f>
      </x:c>
      <x:c r="Y51" s="50"/>
      <x:c r="Z51" s="34" t="str">
        <x:f>IF(A51="","",V51*(K51-J51-Y51))</x:f>
      </x:c>
      <x:c r="AA51" s="38" t="str">
        <x:f>IF(A51="","",IF(AND(H51&gt;0,V51&gt;0),"Pass","Hold"))</x:f>
      </x:c>
      <x:c r="AB51" s="38" t="str">
        <x:f>IF(A51="","",IF(AND(F51="Pass",G51="Pass",K51&gt;J51,OR(O51="Pass",P51="Pass",E51="Order-led",E51="Demo/order-led")),"Pass","Hold"))</x:f>
      </x:c>
      <x:c r="AC51" s="38" t="str">
        <x:f>IF(A51="","",IF(AND(AA51="Pass",AB51="Pass",L51&gt;='Field Inputs'!$E$32,OR(E51="Order-led",E51="Demo/order-led",W51&gt;='Field Inputs'!$E$29)),"CANDIDATE","HOLD"))</x:f>
      </x:c>
      <x:c r="AD51" s="38" t="str">
        <x:f>IF(A51="","",IF(AC51="CANDIDATE",IF(OR(E51="Order-led",E51="Demo/order-led"),"DEMO / ORDER ROUTE","STOCK CANDIDATE"),"HOLD / REWORK"))</x:f>
      </x:c>
      <x:c r="AE51" s="49"/>
      <x:c r="AF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50"/>
      <x:c r="K52" s="50"/>
      <x:c r="L52" s="51" t="str">
        <x:f>IF(OR(A52="",K52&lt;=0),"",(K52-J52)/K52)</x:f>
      </x:c>
      <x:c r="M52" s="49"/>
      <x:c r="N52" s="49"/>
      <x:c r="O52" s="49"/>
      <x:c r="P52" s="49"/>
      <x:c r="Q52" s="49"/>
      <x:c r="R52" s="49"/>
      <x:c r="S52" s="49"/>
      <x:c r="T52" s="52" t="str">
        <x:f>IF(A52="","",R52+S52)</x:f>
      </x:c>
      <x:c r="U52" s="53" t="str">
        <x:f>IF(A52="","",T52*J52)</x:f>
      </x:c>
      <x:c r="V52" s="49"/>
      <x:c r="W52" s="51" t="str">
        <x:f>IF(OR(A52="",S52&lt;=0),"",MIN(V52/S52,1))</x:f>
      </x:c>
      <x:c r="X52" s="54" t="str">
        <x:f>IF(OR(A52="",V52&lt;=0),"",S52/V52*30)</x:f>
      </x:c>
      <x:c r="Y52" s="50"/>
      <x:c r="Z52" s="34" t="str">
        <x:f>IF(A52="","",V52*(K52-J52-Y52))</x:f>
      </x:c>
      <x:c r="AA52" s="38" t="str">
        <x:f>IF(A52="","",IF(AND(H52&gt;0,V52&gt;0),"Pass","Hold"))</x:f>
      </x:c>
      <x:c r="AB52" s="38" t="str">
        <x:f>IF(A52="","",IF(AND(F52="Pass",G52="Pass",K52&gt;J52,OR(O52="Pass",P52="Pass",E52="Order-led",E52="Demo/order-led")),"Pass","Hold"))</x:f>
      </x:c>
      <x:c r="AC52" s="38" t="str">
        <x:f>IF(A52="","",IF(AND(AA52="Pass",AB52="Pass",L52&gt;='Field Inputs'!$E$32,OR(E52="Order-led",E52="Demo/order-led",W52&gt;='Field Inputs'!$E$29)),"CANDIDATE","HOLD"))</x:f>
      </x:c>
      <x:c r="AD52" s="38" t="str">
        <x:f>IF(A52="","",IF(AC52="CANDIDATE",IF(OR(E52="Order-led",E52="Demo/order-led"),"DEMO / ORDER ROUTE","STOCK CANDIDATE"),"HOLD / REWORK"))</x:f>
      </x:c>
      <x:c r="AE52" s="49"/>
      <x:c r="AF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50"/>
      <x:c r="K53" s="50"/>
      <x:c r="L53" s="51" t="str">
        <x:f>IF(OR(A53="",K53&lt;=0),"",(K53-J53)/K53)</x:f>
      </x:c>
      <x:c r="M53" s="49"/>
      <x:c r="N53" s="49"/>
      <x:c r="O53" s="49"/>
      <x:c r="P53" s="49"/>
      <x:c r="Q53" s="49"/>
      <x:c r="R53" s="49"/>
      <x:c r="S53" s="49"/>
      <x:c r="T53" s="52" t="str">
        <x:f>IF(A53="","",R53+S53)</x:f>
      </x:c>
      <x:c r="U53" s="53" t="str">
        <x:f>IF(A53="","",T53*J53)</x:f>
      </x:c>
      <x:c r="V53" s="49"/>
      <x:c r="W53" s="51" t="str">
        <x:f>IF(OR(A53="",S53&lt;=0),"",MIN(V53/S53,1))</x:f>
      </x:c>
      <x:c r="X53" s="54" t="str">
        <x:f>IF(OR(A53="",V53&lt;=0),"",S53/V53*30)</x:f>
      </x:c>
      <x:c r="Y53" s="50"/>
      <x:c r="Z53" s="34" t="str">
        <x:f>IF(A53="","",V53*(K53-J53-Y53))</x:f>
      </x:c>
      <x:c r="AA53" s="38" t="str">
        <x:f>IF(A53="","",IF(AND(H53&gt;0,V53&gt;0),"Pass","Hold"))</x:f>
      </x:c>
      <x:c r="AB53" s="38" t="str">
        <x:f>IF(A53="","",IF(AND(F53="Pass",G53="Pass",K53&gt;J53,OR(O53="Pass",P53="Pass",E53="Order-led",E53="Demo/order-led")),"Pass","Hold"))</x:f>
      </x:c>
      <x:c r="AC53" s="38" t="str">
        <x:f>IF(A53="","",IF(AND(AA53="Pass",AB53="Pass",L53&gt;='Field Inputs'!$E$32,OR(E53="Order-led",E53="Demo/order-led",W53&gt;='Field Inputs'!$E$29)),"CANDIDATE","HOLD"))</x:f>
      </x:c>
      <x:c r="AD53" s="38" t="str">
        <x:f>IF(A53="","",IF(AC53="CANDIDATE",IF(OR(E53="Order-led",E53="Demo/order-led"),"DEMO / ORDER ROUTE","STOCK CANDIDATE"),"HOLD / REWORK"))</x:f>
      </x:c>
      <x:c r="AE53" s="49"/>
      <x:c r="AF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50"/>
      <x:c r="K54" s="50"/>
      <x:c r="L54" s="51" t="str">
        <x:f>IF(OR(A54="",K54&lt;=0),"",(K54-J54)/K54)</x:f>
      </x:c>
      <x:c r="M54" s="49"/>
      <x:c r="N54" s="49"/>
      <x:c r="O54" s="49"/>
      <x:c r="P54" s="49"/>
      <x:c r="Q54" s="49"/>
      <x:c r="R54" s="49"/>
      <x:c r="S54" s="49"/>
      <x:c r="T54" s="52" t="str">
        <x:f>IF(A54="","",R54+S54)</x:f>
      </x:c>
      <x:c r="U54" s="53" t="str">
        <x:f>IF(A54="","",T54*J54)</x:f>
      </x:c>
      <x:c r="V54" s="49"/>
      <x:c r="W54" s="51" t="str">
        <x:f>IF(OR(A54="",S54&lt;=0),"",MIN(V54/S54,1))</x:f>
      </x:c>
      <x:c r="X54" s="54" t="str">
        <x:f>IF(OR(A54="",V54&lt;=0),"",S54/V54*30)</x:f>
      </x:c>
      <x:c r="Y54" s="50"/>
      <x:c r="Z54" s="34" t="str">
        <x:f>IF(A54="","",V54*(K54-J54-Y54))</x:f>
      </x:c>
      <x:c r="AA54" s="38" t="str">
        <x:f>IF(A54="","",IF(AND(H54&gt;0,V54&gt;0),"Pass","Hold"))</x:f>
      </x:c>
      <x:c r="AB54" s="38" t="str">
        <x:f>IF(A54="","",IF(AND(F54="Pass",G54="Pass",K54&gt;J54,OR(O54="Pass",P54="Pass",E54="Order-led",E54="Demo/order-led")),"Pass","Hold"))</x:f>
      </x:c>
      <x:c r="AC54" s="38" t="str">
        <x:f>IF(A54="","",IF(AND(AA54="Pass",AB54="Pass",L54&gt;='Field Inputs'!$E$32,OR(E54="Order-led",E54="Demo/order-led",W54&gt;='Field Inputs'!$E$29)),"CANDIDATE","HOLD"))</x:f>
      </x:c>
      <x:c r="AD54" s="38" t="str">
        <x:f>IF(A54="","",IF(AC54="CANDIDATE",IF(OR(E54="Order-led",E54="Demo/order-led"),"DEMO / ORDER ROUTE","STOCK CANDIDATE"),"HOLD / REWORK"))</x:f>
      </x:c>
      <x:c r="AE54" s="49"/>
      <x:c r="AF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50"/>
      <x:c r="K55" s="50"/>
      <x:c r="L55" s="51" t="str">
        <x:f>IF(OR(A55="",K55&lt;=0),"",(K55-J55)/K55)</x:f>
      </x:c>
      <x:c r="M55" s="49"/>
      <x:c r="N55" s="49"/>
      <x:c r="O55" s="49"/>
      <x:c r="P55" s="49"/>
      <x:c r="Q55" s="49"/>
      <x:c r="R55" s="49"/>
      <x:c r="S55" s="49"/>
      <x:c r="T55" s="52" t="str">
        <x:f>IF(A55="","",R55+S55)</x:f>
      </x:c>
      <x:c r="U55" s="53" t="str">
        <x:f>IF(A55="","",T55*J55)</x:f>
      </x:c>
      <x:c r="V55" s="49"/>
      <x:c r="W55" s="51" t="str">
        <x:f>IF(OR(A55="",S55&lt;=0),"",MIN(V55/S55,1))</x:f>
      </x:c>
      <x:c r="X55" s="54" t="str">
        <x:f>IF(OR(A55="",V55&lt;=0),"",S55/V55*30)</x:f>
      </x:c>
      <x:c r="Y55" s="50"/>
      <x:c r="Z55" s="34" t="str">
        <x:f>IF(A55="","",V55*(K55-J55-Y55))</x:f>
      </x:c>
      <x:c r="AA55" s="38" t="str">
        <x:f>IF(A55="","",IF(AND(H55&gt;0,V55&gt;0),"Pass","Hold"))</x:f>
      </x:c>
      <x:c r="AB55" s="38" t="str">
        <x:f>IF(A55="","",IF(AND(F55="Pass",G55="Pass",K55&gt;J55,OR(O55="Pass",P55="Pass",E55="Order-led",E55="Demo/order-led")),"Pass","Hold"))</x:f>
      </x:c>
      <x:c r="AC55" s="38" t="str">
        <x:f>IF(A55="","",IF(AND(AA55="Pass",AB55="Pass",L55&gt;='Field Inputs'!$E$32,OR(E55="Order-led",E55="Demo/order-led",W55&gt;='Field Inputs'!$E$29)),"CANDIDATE","HOLD"))</x:f>
      </x:c>
      <x:c r="AD55" s="38" t="str">
        <x:f>IF(A55="","",IF(AC55="CANDIDATE",IF(OR(E55="Order-led",E55="Demo/order-led"),"DEMO / ORDER ROUTE","STOCK CANDIDATE"),"HOLD / REWORK"))</x:f>
      </x:c>
      <x:c r="AE55" s="49"/>
      <x:c r="AF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50"/>
      <x:c r="K56" s="50"/>
      <x:c r="L56" s="51" t="str">
        <x:f>IF(OR(A56="",K56&lt;=0),"",(K56-J56)/K56)</x:f>
      </x:c>
      <x:c r="M56" s="49"/>
      <x:c r="N56" s="49"/>
      <x:c r="O56" s="49"/>
      <x:c r="P56" s="49"/>
      <x:c r="Q56" s="49"/>
      <x:c r="R56" s="49"/>
      <x:c r="S56" s="49"/>
      <x:c r="T56" s="52" t="str">
        <x:f>IF(A56="","",R56+S56)</x:f>
      </x:c>
      <x:c r="U56" s="53" t="str">
        <x:f>IF(A56="","",T56*J56)</x:f>
      </x:c>
      <x:c r="V56" s="49"/>
      <x:c r="W56" s="51" t="str">
        <x:f>IF(OR(A56="",S56&lt;=0),"",MIN(V56/S56,1))</x:f>
      </x:c>
      <x:c r="X56" s="54" t="str">
        <x:f>IF(OR(A56="",V56&lt;=0),"",S56/V56*30)</x:f>
      </x:c>
      <x:c r="Y56" s="50"/>
      <x:c r="Z56" s="34" t="str">
        <x:f>IF(A56="","",V56*(K56-J56-Y56))</x:f>
      </x:c>
      <x:c r="AA56" s="38" t="str">
        <x:f>IF(A56="","",IF(AND(H56&gt;0,V56&gt;0),"Pass","Hold"))</x:f>
      </x:c>
      <x:c r="AB56" s="38" t="str">
        <x:f>IF(A56="","",IF(AND(F56="Pass",G56="Pass",K56&gt;J56,OR(O56="Pass",P56="Pass",E56="Order-led",E56="Demo/order-led")),"Pass","Hold"))</x:f>
      </x:c>
      <x:c r="AC56" s="38" t="str">
        <x:f>IF(A56="","",IF(AND(AA56="Pass",AB56="Pass",L56&gt;='Field Inputs'!$E$32,OR(E56="Order-led",E56="Demo/order-led",W56&gt;='Field Inputs'!$E$29)),"CANDIDATE","HOLD"))</x:f>
      </x:c>
      <x:c r="AD56" s="38" t="str">
        <x:f>IF(A56="","",IF(AC56="CANDIDATE",IF(OR(E56="Order-led",E56="Demo/order-led"),"DEMO / ORDER ROUTE","STOCK CANDIDATE"),"HOLD / REWORK"))</x:f>
      </x:c>
      <x:c r="AE56" s="49"/>
      <x:c r="AF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50"/>
      <x:c r="K57" s="50"/>
      <x:c r="L57" s="51" t="str">
        <x:f>IF(OR(A57="",K57&lt;=0),"",(K57-J57)/K57)</x:f>
      </x:c>
      <x:c r="M57" s="49"/>
      <x:c r="N57" s="49"/>
      <x:c r="O57" s="49"/>
      <x:c r="P57" s="49"/>
      <x:c r="Q57" s="49"/>
      <x:c r="R57" s="49"/>
      <x:c r="S57" s="49"/>
      <x:c r="T57" s="52" t="str">
        <x:f>IF(A57="","",R57+S57)</x:f>
      </x:c>
      <x:c r="U57" s="53" t="str">
        <x:f>IF(A57="","",T57*J57)</x:f>
      </x:c>
      <x:c r="V57" s="49"/>
      <x:c r="W57" s="51" t="str">
        <x:f>IF(OR(A57="",S57&lt;=0),"",MIN(V57/S57,1))</x:f>
      </x:c>
      <x:c r="X57" s="54" t="str">
        <x:f>IF(OR(A57="",V57&lt;=0),"",S57/V57*30)</x:f>
      </x:c>
      <x:c r="Y57" s="50"/>
      <x:c r="Z57" s="34" t="str">
        <x:f>IF(A57="","",V57*(K57-J57-Y57))</x:f>
      </x:c>
      <x:c r="AA57" s="38" t="str">
        <x:f>IF(A57="","",IF(AND(H57&gt;0,V57&gt;0),"Pass","Hold"))</x:f>
      </x:c>
      <x:c r="AB57" s="38" t="str">
        <x:f>IF(A57="","",IF(AND(F57="Pass",G57="Pass",K57&gt;J57,OR(O57="Pass",P57="Pass",E57="Order-led",E57="Demo/order-led")),"Pass","Hold"))</x:f>
      </x:c>
      <x:c r="AC57" s="38" t="str">
        <x:f>IF(A57="","",IF(AND(AA57="Pass",AB57="Pass",L57&gt;='Field Inputs'!$E$32,OR(E57="Order-led",E57="Demo/order-led",W57&gt;='Field Inputs'!$E$29)),"CANDIDATE","HOLD"))</x:f>
      </x:c>
      <x:c r="AD57" s="38" t="str">
        <x:f>IF(A57="","",IF(AC57="CANDIDATE",IF(OR(E57="Order-led",E57="Demo/order-led"),"DEMO / ORDER ROUTE","STOCK CANDIDATE"),"HOLD / REWORK"))</x:f>
      </x:c>
      <x:c r="AE57" s="49"/>
      <x:c r="AF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50"/>
      <x:c r="K58" s="50"/>
      <x:c r="L58" s="51" t="str">
        <x:f>IF(OR(A58="",K58&lt;=0),"",(K58-J58)/K58)</x:f>
      </x:c>
      <x:c r="M58" s="49"/>
      <x:c r="N58" s="49"/>
      <x:c r="O58" s="49"/>
      <x:c r="P58" s="49"/>
      <x:c r="Q58" s="49"/>
      <x:c r="R58" s="49"/>
      <x:c r="S58" s="49"/>
      <x:c r="T58" s="52" t="str">
        <x:f>IF(A58="","",R58+S58)</x:f>
      </x:c>
      <x:c r="U58" s="53" t="str">
        <x:f>IF(A58="","",T58*J58)</x:f>
      </x:c>
      <x:c r="V58" s="49"/>
      <x:c r="W58" s="51" t="str">
        <x:f>IF(OR(A58="",S58&lt;=0),"",MIN(V58/S58,1))</x:f>
      </x:c>
      <x:c r="X58" s="54" t="str">
        <x:f>IF(OR(A58="",V58&lt;=0),"",S58/V58*30)</x:f>
      </x:c>
      <x:c r="Y58" s="50"/>
      <x:c r="Z58" s="34" t="str">
        <x:f>IF(A58="","",V58*(K58-J58-Y58))</x:f>
      </x:c>
      <x:c r="AA58" s="38" t="str">
        <x:f>IF(A58="","",IF(AND(H58&gt;0,V58&gt;0),"Pass","Hold"))</x:f>
      </x:c>
      <x:c r="AB58" s="38" t="str">
        <x:f>IF(A58="","",IF(AND(F58="Pass",G58="Pass",K58&gt;J58,OR(O58="Pass",P58="Pass",E58="Order-led",E58="Demo/order-led")),"Pass","Hold"))</x:f>
      </x:c>
      <x:c r="AC58" s="38" t="str">
        <x:f>IF(A58="","",IF(AND(AA58="Pass",AB58="Pass",L58&gt;='Field Inputs'!$E$32,OR(E58="Order-led",E58="Demo/order-led",W58&gt;='Field Inputs'!$E$29)),"CANDIDATE","HOLD"))</x:f>
      </x:c>
      <x:c r="AD58" s="38" t="str">
        <x:f>IF(A58="","",IF(AC58="CANDIDATE",IF(OR(E58="Order-led",E58="Demo/order-led"),"DEMO / ORDER ROUTE","STOCK CANDIDATE"),"HOLD / REWORK"))</x:f>
      </x:c>
      <x:c r="AE58" s="49"/>
      <x:c r="AF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50"/>
      <x:c r="K59" s="50"/>
      <x:c r="L59" s="51" t="str">
        <x:f>IF(OR(A59="",K59&lt;=0),"",(K59-J59)/K59)</x:f>
      </x:c>
      <x:c r="M59" s="49"/>
      <x:c r="N59" s="49"/>
      <x:c r="O59" s="49"/>
      <x:c r="P59" s="49"/>
      <x:c r="Q59" s="49"/>
      <x:c r="R59" s="49"/>
      <x:c r="S59" s="49"/>
      <x:c r="T59" s="52" t="str">
        <x:f>IF(A59="","",R59+S59)</x:f>
      </x:c>
      <x:c r="U59" s="53" t="str">
        <x:f>IF(A59="","",T59*J59)</x:f>
      </x:c>
      <x:c r="V59" s="49"/>
      <x:c r="W59" s="51" t="str">
        <x:f>IF(OR(A59="",S59&lt;=0),"",MIN(V59/S59,1))</x:f>
      </x:c>
      <x:c r="X59" s="54" t="str">
        <x:f>IF(OR(A59="",V59&lt;=0),"",S59/V59*30)</x:f>
      </x:c>
      <x:c r="Y59" s="50"/>
      <x:c r="Z59" s="34" t="str">
        <x:f>IF(A59="","",V59*(K59-J59-Y59))</x:f>
      </x:c>
      <x:c r="AA59" s="38" t="str">
        <x:f>IF(A59="","",IF(AND(H59&gt;0,V59&gt;0),"Pass","Hold"))</x:f>
      </x:c>
      <x:c r="AB59" s="38" t="str">
        <x:f>IF(A59="","",IF(AND(F59="Pass",G59="Pass",K59&gt;J59,OR(O59="Pass",P59="Pass",E59="Order-led",E59="Demo/order-led")),"Pass","Hold"))</x:f>
      </x:c>
      <x:c r="AC59" s="38" t="str">
        <x:f>IF(A59="","",IF(AND(AA59="Pass",AB59="Pass",L59&gt;='Field Inputs'!$E$32,OR(E59="Order-led",E59="Demo/order-led",W59&gt;='Field Inputs'!$E$29)),"CANDIDATE","HOLD"))</x:f>
      </x:c>
      <x:c r="AD59" s="38" t="str">
        <x:f>IF(A59="","",IF(AC59="CANDIDATE",IF(OR(E59="Order-led",E59="Demo/order-led"),"DEMO / ORDER ROUTE","STOCK CANDIDATE"),"HOLD / REWORK"))</x:f>
      </x:c>
      <x:c r="AE59" s="49"/>
      <x:c r="AF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50"/>
      <x:c r="K60" s="50"/>
      <x:c r="L60" s="51" t="str">
        <x:f>IF(OR(A60="",K60&lt;=0),"",(K60-J60)/K60)</x:f>
      </x:c>
      <x:c r="M60" s="49"/>
      <x:c r="N60" s="49"/>
      <x:c r="O60" s="49"/>
      <x:c r="P60" s="49"/>
      <x:c r="Q60" s="49"/>
      <x:c r="R60" s="49"/>
      <x:c r="S60" s="49"/>
      <x:c r="T60" s="52" t="str">
        <x:f>IF(A60="","",R60+S60)</x:f>
      </x:c>
      <x:c r="U60" s="53" t="str">
        <x:f>IF(A60="","",T60*J60)</x:f>
      </x:c>
      <x:c r="V60" s="49"/>
      <x:c r="W60" s="51" t="str">
        <x:f>IF(OR(A60="",S60&lt;=0),"",MIN(V60/S60,1))</x:f>
      </x:c>
      <x:c r="X60" s="54" t="str">
        <x:f>IF(OR(A60="",V60&lt;=0),"",S60/V60*30)</x:f>
      </x:c>
      <x:c r="Y60" s="50"/>
      <x:c r="Z60" s="34" t="str">
        <x:f>IF(A60="","",V60*(K60-J60-Y60))</x:f>
      </x:c>
      <x:c r="AA60" s="38" t="str">
        <x:f>IF(A60="","",IF(AND(H60&gt;0,V60&gt;0),"Pass","Hold"))</x:f>
      </x:c>
      <x:c r="AB60" s="38" t="str">
        <x:f>IF(A60="","",IF(AND(F60="Pass",G60="Pass",K60&gt;J60,OR(O60="Pass",P60="Pass",E60="Order-led",E60="Demo/order-led")),"Pass","Hold"))</x:f>
      </x:c>
      <x:c r="AC60" s="38" t="str">
        <x:f>IF(A60="","",IF(AND(AA60="Pass",AB60="Pass",L60&gt;='Field Inputs'!$E$32,OR(E60="Order-led",E60="Demo/order-led",W60&gt;='Field Inputs'!$E$29)),"CANDIDATE","HOLD"))</x:f>
      </x:c>
      <x:c r="AD60" s="38" t="str">
        <x:f>IF(A60="","",IF(AC60="CANDIDATE",IF(OR(E60="Order-led",E60="Demo/order-led"),"DEMO / ORDER ROUTE","STOCK CANDIDATE"),"HOLD / REWORK"))</x:f>
      </x:c>
      <x:c r="AE60" s="49"/>
      <x:c r="AF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50"/>
      <x:c r="K61" s="50"/>
      <x:c r="L61" s="51" t="str">
        <x:f>IF(OR(A61="",K61&lt;=0),"",(K61-J61)/K61)</x:f>
      </x:c>
      <x:c r="M61" s="49"/>
      <x:c r="N61" s="49"/>
      <x:c r="O61" s="49"/>
      <x:c r="P61" s="49"/>
      <x:c r="Q61" s="49"/>
      <x:c r="R61" s="49"/>
      <x:c r="S61" s="49"/>
      <x:c r="T61" s="52" t="str">
        <x:f>IF(A61="","",R61+S61)</x:f>
      </x:c>
      <x:c r="U61" s="53" t="str">
        <x:f>IF(A61="","",T61*J61)</x:f>
      </x:c>
      <x:c r="V61" s="49"/>
      <x:c r="W61" s="51" t="str">
        <x:f>IF(OR(A61="",S61&lt;=0),"",MIN(V61/S61,1))</x:f>
      </x:c>
      <x:c r="X61" s="54" t="str">
        <x:f>IF(OR(A61="",V61&lt;=0),"",S61/V61*30)</x:f>
      </x:c>
      <x:c r="Y61" s="50"/>
      <x:c r="Z61" s="34" t="str">
        <x:f>IF(A61="","",V61*(K61-J61-Y61))</x:f>
      </x:c>
      <x:c r="AA61" s="38" t="str">
        <x:f>IF(A61="","",IF(AND(H61&gt;0,V61&gt;0),"Pass","Hold"))</x:f>
      </x:c>
      <x:c r="AB61" s="38" t="str">
        <x:f>IF(A61="","",IF(AND(F61="Pass",G61="Pass",K61&gt;J61,OR(O61="Pass",P61="Pass",E61="Order-led",E61="Demo/order-led")),"Pass","Hold"))</x:f>
      </x:c>
      <x:c r="AC61" s="38" t="str">
        <x:f>IF(A61="","",IF(AND(AA61="Pass",AB61="Pass",L61&gt;='Field Inputs'!$E$32,OR(E61="Order-led",E61="Demo/order-led",W61&gt;='Field Inputs'!$E$29)),"CANDIDATE","HOLD"))</x:f>
      </x:c>
      <x:c r="AD61" s="38" t="str">
        <x:f>IF(A61="","",IF(AC61="CANDIDATE",IF(OR(E61="Order-led",E61="Demo/order-led"),"DEMO / ORDER ROUTE","STOCK CANDIDATE"),"HOLD / REWORK"))</x:f>
      </x:c>
      <x:c r="AE61" s="49"/>
      <x:c r="AF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50"/>
      <x:c r="K62" s="50"/>
      <x:c r="L62" s="51" t="str">
        <x:f>IF(OR(A62="",K62&lt;=0),"",(K62-J62)/K62)</x:f>
      </x:c>
      <x:c r="M62" s="49"/>
      <x:c r="N62" s="49"/>
      <x:c r="O62" s="49"/>
      <x:c r="P62" s="49"/>
      <x:c r="Q62" s="49"/>
      <x:c r="R62" s="49"/>
      <x:c r="S62" s="49"/>
      <x:c r="T62" s="52" t="str">
        <x:f>IF(A62="","",R62+S62)</x:f>
      </x:c>
      <x:c r="U62" s="53" t="str">
        <x:f>IF(A62="","",T62*J62)</x:f>
      </x:c>
      <x:c r="V62" s="49"/>
      <x:c r="W62" s="51" t="str">
        <x:f>IF(OR(A62="",S62&lt;=0),"",MIN(V62/S62,1))</x:f>
      </x:c>
      <x:c r="X62" s="54" t="str">
        <x:f>IF(OR(A62="",V62&lt;=0),"",S62/V62*30)</x:f>
      </x:c>
      <x:c r="Y62" s="50"/>
      <x:c r="Z62" s="34" t="str">
        <x:f>IF(A62="","",V62*(K62-J62-Y62))</x:f>
      </x:c>
      <x:c r="AA62" s="38" t="str">
        <x:f>IF(A62="","",IF(AND(H62&gt;0,V62&gt;0),"Pass","Hold"))</x:f>
      </x:c>
      <x:c r="AB62" s="38" t="str">
        <x:f>IF(A62="","",IF(AND(F62="Pass",G62="Pass",K62&gt;J62,OR(O62="Pass",P62="Pass",E62="Order-led",E62="Demo/order-led")),"Pass","Hold"))</x:f>
      </x:c>
      <x:c r="AC62" s="38" t="str">
        <x:f>IF(A62="","",IF(AND(AA62="Pass",AB62="Pass",L62&gt;='Field Inputs'!$E$32,OR(E62="Order-led",E62="Demo/order-led",W62&gt;='Field Inputs'!$E$29)),"CANDIDATE","HOLD"))</x:f>
      </x:c>
      <x:c r="AD62" s="38" t="str">
        <x:f>IF(A62="","",IF(AC62="CANDIDATE",IF(OR(E62="Order-led",E62="Demo/order-led"),"DEMO / ORDER ROUTE","STOCK CANDIDATE"),"HOLD / REWORK"))</x:f>
      </x:c>
      <x:c r="AE62" s="49"/>
      <x:c r="AF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50"/>
      <x:c r="K63" s="50"/>
      <x:c r="L63" s="51" t="str">
        <x:f>IF(OR(A63="",K63&lt;=0),"",(K63-J63)/K63)</x:f>
      </x:c>
      <x:c r="M63" s="49"/>
      <x:c r="N63" s="49"/>
      <x:c r="O63" s="49"/>
      <x:c r="P63" s="49"/>
      <x:c r="Q63" s="49"/>
      <x:c r="R63" s="49"/>
      <x:c r="S63" s="49"/>
      <x:c r="T63" s="52" t="str">
        <x:f>IF(A63="","",R63+S63)</x:f>
      </x:c>
      <x:c r="U63" s="53" t="str">
        <x:f>IF(A63="","",T63*J63)</x:f>
      </x:c>
      <x:c r="V63" s="49"/>
      <x:c r="W63" s="51" t="str">
        <x:f>IF(OR(A63="",S63&lt;=0),"",MIN(V63/S63,1))</x:f>
      </x:c>
      <x:c r="X63" s="54" t="str">
        <x:f>IF(OR(A63="",V63&lt;=0),"",S63/V63*30)</x:f>
      </x:c>
      <x:c r="Y63" s="50"/>
      <x:c r="Z63" s="34" t="str">
        <x:f>IF(A63="","",V63*(K63-J63-Y63))</x:f>
      </x:c>
      <x:c r="AA63" s="38" t="str">
        <x:f>IF(A63="","",IF(AND(H63&gt;0,V63&gt;0),"Pass","Hold"))</x:f>
      </x:c>
      <x:c r="AB63" s="38" t="str">
        <x:f>IF(A63="","",IF(AND(F63="Pass",G63="Pass",K63&gt;J63,OR(O63="Pass",P63="Pass",E63="Order-led",E63="Demo/order-led")),"Pass","Hold"))</x:f>
      </x:c>
      <x:c r="AC63" s="38" t="str">
        <x:f>IF(A63="","",IF(AND(AA63="Pass",AB63="Pass",L63&gt;='Field Inputs'!$E$32,OR(E63="Order-led",E63="Demo/order-led",W63&gt;='Field Inputs'!$E$29)),"CANDIDATE","HOLD"))</x:f>
      </x:c>
      <x:c r="AD63" s="38" t="str">
        <x:f>IF(A63="","",IF(AC63="CANDIDATE",IF(OR(E63="Order-led",E63="Demo/order-led"),"DEMO / ORDER ROUTE","STOCK CANDIDATE"),"HOLD / REWORK"))</x:f>
      </x:c>
      <x:c r="AE63" s="49"/>
      <x:c r="AF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50"/>
      <x:c r="K64" s="50"/>
      <x:c r="L64" s="51" t="str">
        <x:f>IF(OR(A64="",K64&lt;=0),"",(K64-J64)/K64)</x:f>
      </x:c>
      <x:c r="M64" s="49"/>
      <x:c r="N64" s="49"/>
      <x:c r="O64" s="49"/>
      <x:c r="P64" s="49"/>
      <x:c r="Q64" s="49"/>
      <x:c r="R64" s="49"/>
      <x:c r="S64" s="49"/>
      <x:c r="T64" s="52" t="str">
        <x:f>IF(A64="","",R64+S64)</x:f>
      </x:c>
      <x:c r="U64" s="53" t="str">
        <x:f>IF(A64="","",T64*J64)</x:f>
      </x:c>
      <x:c r="V64" s="49"/>
      <x:c r="W64" s="51" t="str">
        <x:f>IF(OR(A64="",S64&lt;=0),"",MIN(V64/S64,1))</x:f>
      </x:c>
      <x:c r="X64" s="54" t="str">
        <x:f>IF(OR(A64="",V64&lt;=0),"",S64/V64*30)</x:f>
      </x:c>
      <x:c r="Y64" s="50"/>
      <x:c r="Z64" s="34" t="str">
        <x:f>IF(A64="","",V64*(K64-J64-Y64))</x:f>
      </x:c>
      <x:c r="AA64" s="38" t="str">
        <x:f>IF(A64="","",IF(AND(H64&gt;0,V64&gt;0),"Pass","Hold"))</x:f>
      </x:c>
      <x:c r="AB64" s="38" t="str">
        <x:f>IF(A64="","",IF(AND(F64="Pass",G64="Pass",K64&gt;J64,OR(O64="Pass",P64="Pass",E64="Order-led",E64="Demo/order-led")),"Pass","Hold"))</x:f>
      </x:c>
      <x:c r="AC64" s="38" t="str">
        <x:f>IF(A64="","",IF(AND(AA64="Pass",AB64="Pass",L64&gt;='Field Inputs'!$E$32,OR(E64="Order-led",E64="Demo/order-led",W64&gt;='Field Inputs'!$E$29)),"CANDIDATE","HOLD"))</x:f>
      </x:c>
      <x:c r="AD64" s="38" t="str">
        <x:f>IF(A64="","",IF(AC64="CANDIDATE",IF(OR(E64="Order-led",E64="Demo/order-led"),"DEMO / ORDER ROUTE","STOCK CANDIDATE"),"HOLD / REWORK"))</x:f>
      </x:c>
      <x:c r="AE64" s="49"/>
      <x:c r="AF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50"/>
      <x:c r="K65" s="50"/>
      <x:c r="L65" s="51" t="str">
        <x:f>IF(OR(A65="",K65&lt;=0),"",(K65-J65)/K65)</x:f>
      </x:c>
      <x:c r="M65" s="49"/>
      <x:c r="N65" s="49"/>
      <x:c r="O65" s="49"/>
      <x:c r="P65" s="49"/>
      <x:c r="Q65" s="49"/>
      <x:c r="R65" s="49"/>
      <x:c r="S65" s="49"/>
      <x:c r="T65" s="52" t="str">
        <x:f>IF(A65="","",R65+S65)</x:f>
      </x:c>
      <x:c r="U65" s="53" t="str">
        <x:f>IF(A65="","",T65*J65)</x:f>
      </x:c>
      <x:c r="V65" s="49"/>
      <x:c r="W65" s="51" t="str">
        <x:f>IF(OR(A65="",S65&lt;=0),"",MIN(V65/S65,1))</x:f>
      </x:c>
      <x:c r="X65" s="54" t="str">
        <x:f>IF(OR(A65="",V65&lt;=0),"",S65/V65*30)</x:f>
      </x:c>
      <x:c r="Y65" s="50"/>
      <x:c r="Z65" s="34" t="str">
        <x:f>IF(A65="","",V65*(K65-J65-Y65))</x:f>
      </x:c>
      <x:c r="AA65" s="38" t="str">
        <x:f>IF(A65="","",IF(AND(H65&gt;0,V65&gt;0),"Pass","Hold"))</x:f>
      </x:c>
      <x:c r="AB65" s="38" t="str">
        <x:f>IF(A65="","",IF(AND(F65="Pass",G65="Pass",K65&gt;J65,OR(O65="Pass",P65="Pass",E65="Order-led",E65="Demo/order-led")),"Pass","Hold"))</x:f>
      </x:c>
      <x:c r="AC65" s="38" t="str">
        <x:f>IF(A65="","",IF(AND(AA65="Pass",AB65="Pass",L65&gt;='Field Inputs'!$E$32,OR(E65="Order-led",E65="Demo/order-led",W65&gt;='Field Inputs'!$E$29)),"CANDIDATE","HOLD"))</x:f>
      </x:c>
      <x:c r="AD65" s="38" t="str">
        <x:f>IF(A65="","",IF(AC65="CANDIDATE",IF(OR(E65="Order-led",E65="Demo/order-led"),"DEMO / ORDER ROUTE","STOCK CANDIDATE"),"HOLD / REWORK"))</x:f>
      </x:c>
      <x:c r="AE65" s="49"/>
      <x:c r="AF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50"/>
      <x:c r="K66" s="50"/>
      <x:c r="L66" s="51" t="str">
        <x:f>IF(OR(A66="",K66&lt;=0),"",(K66-J66)/K66)</x:f>
      </x:c>
      <x:c r="M66" s="49"/>
      <x:c r="N66" s="49"/>
      <x:c r="O66" s="49"/>
      <x:c r="P66" s="49"/>
      <x:c r="Q66" s="49"/>
      <x:c r="R66" s="49"/>
      <x:c r="S66" s="49"/>
      <x:c r="T66" s="52" t="str">
        <x:f>IF(A66="","",R66+S66)</x:f>
      </x:c>
      <x:c r="U66" s="53" t="str">
        <x:f>IF(A66="","",T66*J66)</x:f>
      </x:c>
      <x:c r="V66" s="49"/>
      <x:c r="W66" s="51" t="str">
        <x:f>IF(OR(A66="",S66&lt;=0),"",MIN(V66/S66,1))</x:f>
      </x:c>
      <x:c r="X66" s="54" t="str">
        <x:f>IF(OR(A66="",V66&lt;=0),"",S66/V66*30)</x:f>
      </x:c>
      <x:c r="Y66" s="50"/>
      <x:c r="Z66" s="34" t="str">
        <x:f>IF(A66="","",V66*(K66-J66-Y66))</x:f>
      </x:c>
      <x:c r="AA66" s="38" t="str">
        <x:f>IF(A66="","",IF(AND(H66&gt;0,V66&gt;0),"Pass","Hold"))</x:f>
      </x:c>
      <x:c r="AB66" s="38" t="str">
        <x:f>IF(A66="","",IF(AND(F66="Pass",G66="Pass",K66&gt;J66,OR(O66="Pass",P66="Pass",E66="Order-led",E66="Demo/order-led")),"Pass","Hold"))</x:f>
      </x:c>
      <x:c r="AC66" s="38" t="str">
        <x:f>IF(A66="","",IF(AND(AA66="Pass",AB66="Pass",L66&gt;='Field Inputs'!$E$32,OR(E66="Order-led",E66="Demo/order-led",W66&gt;='Field Inputs'!$E$29)),"CANDIDATE","HOLD"))</x:f>
      </x:c>
      <x:c r="AD66" s="38" t="str">
        <x:f>IF(A66="","",IF(AC66="CANDIDATE",IF(OR(E66="Order-led",E66="Demo/order-led"),"DEMO / ORDER ROUTE","STOCK CANDIDATE"),"HOLD / REWORK"))</x:f>
      </x:c>
      <x:c r="AE66" s="49"/>
      <x:c r="AF66" s="49"/>
    </x:row>
  </x:sheetData>
  <x:mergeCells>
    <x:mergeCell ref="A1:AF1"/>
    <x:mergeCell ref="A2:AF2"/>
  </x:mergeCells>
  <x:dataValidations count="4">
    <x:dataValidation type="list" sqref="B7:B66">
      <x:formula1>"Phone,Laptop,Tablet,Accessory,Wearable,Feature phone,Service tool"</x:formula1>
    </x:dataValidation>
    <x:dataValidation type="list" sqref="E7:E66">
      <x:formula1>"Core stocked,Shallow stocked,Demo/order-led,Order-led,Partner/service-led,Reject/pause"</x:formula1>
    </x:dataValidation>
    <x:dataValidation type="list" sqref="F7:G66">
      <x:formula1>"Pass,Hold,Fail,Unverified"</x:formula1>
    </x:dataValidation>
    <x:dataValidation type="list" sqref="O7:P66">
      <x:formula1>"Pass,Hold,Fail,Not offered,Unverified"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34" hidden="0" customWidth="1"/>
    <x:col min="15" max="15" width="16" hidden="0" customWidth="1"/>
  </x:cols>
  <x:sheetData>
    <x:row r="1" ht="34" customHeight="1">
      <x:c r="A1" s="4" t="str">
        <x:v>Flagship Defensibility Evidence</x:v>
      </x:c>
    </x:row>
    <x:row r="2" ht="30" customHeight="1">
      <x:c r="A2" s="7" t="str">
        <x:v>Score 0–5 only after evidence exists. Public absence is not competitor rarity; a total score never overrides customer, contribution, repeatability or risk controls.</x:v>
      </x:c>
    </x:row>
    <x:row r="5" ht="34" customHeight="1">
      <x:c r="A5" s="24" t="str">
        <x:v>Initiative</x:v>
      </x:c>
      <x:c r="B5" s="24" t="str">
        <x:v>Desk class</x:v>
      </x:c>
      <x:c r="C5" s="24" t="str">
        <x:v>Problem severity</x:v>
      </x:c>
      <x:c r="D5" s="24" t="str">
        <x:v>Observed lift</x:v>
      </x:c>
      <x:c r="E5" s="24" t="str">
        <x:v>Competitor rarity</x:v>
      </x:c>
      <x:c r="F5" s="24" t="str">
        <x:v>Positive contribution</x:v>
      </x:c>
      <x:c r="G5" s="24" t="str">
        <x:v>Repeatability</x:v>
      </x:c>
      <x:c r="H5" s="24" t="str">
        <x:v>Copy difficulty</x:v>
      </x:c>
      <x:c r="I5" s="24" t="str">
        <x:v>Learning benefit</x:v>
      </x:c>
      <x:c r="J5" s="24" t="str">
        <x:v>Risk control</x:v>
      </x:c>
      <x:c r="K5" s="24" t="str">
        <x:v>Evidence complete?</x:v>
      </x:c>
      <x:c r="L5" s="24" t="str">
        <x:v>Total / 40</x:v>
      </x:c>
      <x:c r="M5" s="24" t="str">
        <x:v>Classification</x:v>
      </x:c>
      <x:c r="N5" s="24" t="str">
        <x:v>Evidence reference</x:v>
      </x:c>
      <x:c r="O5" s="24" t="str">
        <x:v>Owner</x:v>
      </x:c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</x:row>
    <x:row r="7">
      <x:c r="A7" s="25" t="str">
        <x:v>Authorised product, invoice and warranty</x:v>
      </x:c>
      <x:c r="B7" s="25" t="str">
        <x:v>Table stake</x:v>
      </x:c>
      <x:c r="C7" s="49"/>
      <x:c r="D7" s="49"/>
      <x:c r="E7" s="49"/>
      <x:c r="F7" s="49"/>
      <x:c r="G7" s="49"/>
      <x:c r="H7" s="49"/>
      <x:c r="I7" s="49"/>
      <x:c r="J7" s="49"/>
      <x:c r="K7" s="49"/>
      <x:c r="L7" s="38" t="str">
        <x:f>IF(COUNT(C7:J7)&lt;8,"",SUM(C7:J7))</x:f>
      </x:c>
      <x:c r="M7" s="38" t="str">
        <x:f>IF(A7="","",IF(B7="Table stake","TABLE STAKE",IF(K7&lt;&gt;"Yes","EXPERIMENT / INPUT REQUIRED",IF(OR(C7&lt;3,F7&lt;3,G7&lt;3,J7&lt;3),"HOLD",IF(L7&gt;='Field Inputs'!$E$33,"DIFFERENTIATOR CANDIDATE","EXPERIMENT")))))</x:f>
        <x:v>TABLE STAKE</x:v>
      </x:c>
      <x:c r="N7" s="49"/>
      <x:c r="O7" s="49"/>
    </x:row>
    <x:row r="8">
      <x:c r="A8" s="25" t="str">
        <x:v>Transparent price and EMI access</x:v>
      </x:c>
      <x:c r="B8" s="25" t="str">
        <x:v>Table stake</x:v>
      </x:c>
      <x:c r="C8" s="49"/>
      <x:c r="D8" s="49"/>
      <x:c r="E8" s="49"/>
      <x:c r="F8" s="49"/>
      <x:c r="G8" s="49"/>
      <x:c r="H8" s="49"/>
      <x:c r="I8" s="49"/>
      <x:c r="J8" s="49"/>
      <x:c r="K8" s="49"/>
      <x:c r="L8" s="38" t="str">
        <x:f>IF(COUNT(C8:J8)&lt;8,"",SUM(C8:J8))</x:f>
      </x:c>
      <x:c r="M8" s="38" t="str">
        <x:f>IF(A8="","",IF(B8="Table stake","TABLE STAKE",IF(K8&lt;&gt;"Yes","EXPERIMENT / INPUT REQUIRED",IF(OR(C8&lt;3,F8&lt;3,G8&lt;3,J8&lt;3),"HOLD",IF(L8&gt;='Field Inputs'!$E$33,"DIFFERENTIATOR CANDIDATE","EXPERIMENT")))))</x:f>
        <x:v>TABLE STAKE</x:v>
      </x:c>
      <x:c r="N8" s="49"/>
      <x:c r="O8" s="49"/>
    </x:row>
    <x:row r="9">
      <x:c r="A9" s="25" t="str">
        <x:v>Trade-in availability</x:v>
      </x:c>
      <x:c r="B9" s="25" t="str">
        <x:v>Table stake</x:v>
      </x:c>
      <x:c r="C9" s="49"/>
      <x:c r="D9" s="49"/>
      <x:c r="E9" s="49"/>
      <x:c r="F9" s="49"/>
      <x:c r="G9" s="49"/>
      <x:c r="H9" s="49"/>
      <x:c r="I9" s="49"/>
      <x:c r="J9" s="49"/>
      <x:c r="K9" s="49"/>
      <x:c r="L9" s="38" t="str">
        <x:f>IF(COUNT(C9:J9)&lt;8,"",SUM(C9:J9))</x:f>
      </x:c>
      <x:c r="M9" s="38" t="str">
        <x:f>IF(A9="","",IF(B9="Table stake","TABLE STAKE",IF(K9&lt;&gt;"Yes","EXPERIMENT / INPUT REQUIRED",IF(OR(C9&lt;3,F9&lt;3,G9&lt;3,J9&lt;3),"HOLD",IF(L9&gt;='Field Inputs'!$E$33,"DIFFERENTIATOR CANDIDATE","EXPERIMENT")))))</x:f>
        <x:v>TABLE STAKE</x:v>
      </x:c>
      <x:c r="N9" s="49"/>
      <x:c r="O9" s="49"/>
    </x:row>
    <x:row r="10">
      <x:c r="A10" s="25" t="str">
        <x:v>Decision Confidence Record</x:v>
      </x:c>
      <x:c r="B10" s="25" t="str">
        <x:v>System component</x:v>
      </x:c>
      <x:c r="C10" s="49"/>
      <x:c r="D10" s="49"/>
      <x:c r="E10" s="49"/>
      <x:c r="F10" s="49"/>
      <x:c r="G10" s="49"/>
      <x:c r="H10" s="49"/>
      <x:c r="I10" s="49"/>
      <x:c r="J10" s="49"/>
      <x:c r="K10" s="49"/>
      <x:c r="L10" s="38" t="str">
        <x:f>IF(COUNT(C10:J10)&lt;8,"",SUM(C10:J10))</x:f>
      </x:c>
      <x:c r="M10" s="38" t="str">
        <x:f>IF(A10="","",IF(B10="Table stake","TABLE STAKE",IF(K10&lt;&gt;"Yes","EXPERIMENT / INPUT REQUIRED",IF(OR(C10&lt;3,F10&lt;3,G10&lt;3,J10&lt;3),"HOLD",IF(L10&gt;='Field Inputs'!$E$33,"DIFFERENTIATOR CANDIDATE","EXPERIMENT")))))</x:f>
        <x:v>EXPERIMENT / INPUT REQUIRED</x:v>
      </x:c>
      <x:c r="N10" s="49"/>
      <x:c r="O10" s="49"/>
    </x:row>
    <x:row r="11">
      <x:c r="A11" s="25" t="str">
        <x:v>One True Cost Sheet</x:v>
      </x:c>
      <x:c r="B11" s="25" t="str">
        <x:v>System component</x:v>
      </x:c>
      <x:c r="C11" s="49"/>
      <x:c r="D11" s="49"/>
      <x:c r="E11" s="49"/>
      <x:c r="F11" s="49"/>
      <x:c r="G11" s="49"/>
      <x:c r="H11" s="49"/>
      <x:c r="I11" s="49"/>
      <x:c r="J11" s="49"/>
      <x:c r="K11" s="49"/>
      <x:c r="L11" s="38" t="str">
        <x:f>IF(COUNT(C11:J11)&lt;8,"",SUM(C11:J11))</x:f>
      </x:c>
      <x:c r="M11" s="38" t="str">
        <x:f>IF(A11="","",IF(B11="Table stake","TABLE STAKE",IF(K11&lt;&gt;"Yes","EXPERIMENT / INPUT REQUIRED",IF(OR(C11&lt;3,F11&lt;3,G11&lt;3,J11&lt;3),"HOLD",IF(L11&gt;='Field Inputs'!$E$33,"DIFFERENTIATOR CANDIDATE","EXPERIMENT")))))</x:f>
        <x:v>EXPERIMENT / INPUT REQUIRED</x:v>
      </x:c>
      <x:c r="N11" s="49"/>
      <x:c r="O11" s="49"/>
    </x:row>
    <x:row r="12">
      <x:c r="A12" s="25" t="str">
        <x:v>Verified Handover</x:v>
      </x:c>
      <x:c r="B12" s="25" t="str">
        <x:v>System component</x:v>
      </x:c>
      <x:c r="C12" s="49"/>
      <x:c r="D12" s="49"/>
      <x:c r="E12" s="49"/>
      <x:c r="F12" s="49"/>
      <x:c r="G12" s="49"/>
      <x:c r="H12" s="49"/>
      <x:c r="I12" s="49"/>
      <x:c r="J12" s="49"/>
      <x:c r="K12" s="49"/>
      <x:c r="L12" s="38" t="str">
        <x:f>IF(COUNT(C12:J12)&lt;8,"",SUM(C12:J12))</x:f>
      </x:c>
      <x:c r="M12" s="38" t="str">
        <x:f>IF(A12="","",IF(B12="Table stake","TABLE STAKE",IF(K12&lt;&gt;"Yes","EXPERIMENT / INPUT REQUIRED",IF(OR(C12&lt;3,F12&lt;3,G12&lt;3,J12&lt;3),"HOLD",IF(L12&gt;='Field Inputs'!$E$33,"DIFFERENTIATOR CANDIDATE","EXPERIMENT")))))</x:f>
        <x:v>EXPERIMENT / INPUT REQUIRED</x:v>
      </x:c>
      <x:c r="N12" s="49"/>
      <x:c r="O12" s="49"/>
    </x:row>
    <x:row r="13">
      <x:c r="A13" s="25" t="str">
        <x:v>Privacy-Safe Migration Record</x:v>
      </x:c>
      <x:c r="B13" s="25" t="str">
        <x:v>System component</x:v>
      </x:c>
      <x:c r="C13" s="49"/>
      <x:c r="D13" s="49"/>
      <x:c r="E13" s="49"/>
      <x:c r="F13" s="49"/>
      <x:c r="G13" s="49"/>
      <x:c r="H13" s="49"/>
      <x:c r="I13" s="49"/>
      <x:c r="J13" s="49"/>
      <x:c r="K13" s="49"/>
      <x:c r="L13" s="38" t="str">
        <x:f>IF(COUNT(C13:J13)&lt;8,"",SUM(C13:J13))</x:f>
      </x:c>
      <x:c r="M13" s="38" t="str">
        <x:f>IF(A13="","",IF(B13="Table stake","TABLE STAKE",IF(K13&lt;&gt;"Yes","EXPERIMENT / INPUT REQUIRED",IF(OR(C13&lt;3,F13&lt;3,G13&lt;3,J13&lt;3),"HOLD",IF(L13&gt;='Field Inputs'!$E$33,"DIFFERENTIATOR CANDIDATE","EXPERIMENT")))))</x:f>
        <x:v>EXPERIMENT / INPUT REQUIRED</x:v>
      </x:c>
      <x:c r="N13" s="49"/>
      <x:c r="O13" s="49"/>
    </x:row>
    <x:row r="14">
      <x:c r="A14" s="25" t="str">
        <x:v>K&amp;S Case Ownership</x:v>
      </x:c>
      <x:c r="B14" s="25" t="str">
        <x:v>System component</x:v>
      </x:c>
      <x:c r="C14" s="49"/>
      <x:c r="D14" s="49"/>
      <x:c r="E14" s="49"/>
      <x:c r="F14" s="49"/>
      <x:c r="G14" s="49"/>
      <x:c r="H14" s="49"/>
      <x:c r="I14" s="49"/>
      <x:c r="J14" s="49"/>
      <x:c r="K14" s="49"/>
      <x:c r="L14" s="38" t="str">
        <x:f>IF(COUNT(C14:J14)&lt;8,"",SUM(C14:J14))</x:f>
      </x:c>
      <x:c r="M14" s="38" t="str">
        <x:f>IF(A14="","",IF(B14="Table stake","TABLE STAKE",IF(K14&lt;&gt;"Yes","EXPERIMENT / INPUT REQUIRED",IF(OR(C14&lt;3,F14&lt;3,G14&lt;3,J14&lt;3),"HOLD",IF(L14&gt;='Field Inputs'!$E$33,"DIFFERENTIATOR CANDIDATE","EXPERIMENT")))))</x:f>
        <x:v>EXPERIMENT / INPUT REQUIRED</x:v>
      </x:c>
      <x:c r="N14" s="49"/>
      <x:c r="O14" s="49"/>
    </x:row>
    <x:row r="15">
      <x:c r="A15" s="25" t="str">
        <x:v>Transparent Upgrade Path</x:v>
      </x:c>
      <x:c r="B15" s="25" t="str">
        <x:v>System component</x:v>
      </x:c>
      <x:c r="C15" s="49"/>
      <x:c r="D15" s="49"/>
      <x:c r="E15" s="49"/>
      <x:c r="F15" s="49"/>
      <x:c r="G15" s="49"/>
      <x:c r="H15" s="49"/>
      <x:c r="I15" s="49"/>
      <x:c r="J15" s="49"/>
      <x:c r="K15" s="49"/>
      <x:c r="L15" s="38" t="str">
        <x:f>IF(COUNT(C15:J15)&lt;8,"",SUM(C15:J15))</x:f>
      </x:c>
      <x:c r="M15" s="38" t="str">
        <x:f>IF(A15="","",IF(B15="Table stake","TABLE STAKE",IF(K15&lt;&gt;"Yes","EXPERIMENT / INPUT REQUIRED",IF(OR(C15&lt;3,F15&lt;3,G15&lt;3,J15&lt;3),"HOLD",IF(L15&gt;='Field Inputs'!$E$33,"DIFFERENTIATOR CANDIDATE","EXPERIMENT")))))</x:f>
        <x:v>EXPERIMENT / INPUT REQUIRED</x:v>
      </x:c>
      <x:c r="N15" s="49"/>
      <x:c r="O15" s="49"/>
    </x:row>
    <x:row r="16">
      <x:c r="A16" s="25" t="str">
        <x:v>Consented Service Continuity</x:v>
      </x:c>
      <x:c r="B16" s="25" t="str">
        <x:v>System component</x:v>
      </x:c>
      <x:c r="C16" s="49"/>
      <x:c r="D16" s="49"/>
      <x:c r="E16" s="49"/>
      <x:c r="F16" s="49"/>
      <x:c r="G16" s="49"/>
      <x:c r="H16" s="49"/>
      <x:c r="I16" s="49"/>
      <x:c r="J16" s="49"/>
      <x:c r="K16" s="49"/>
      <x:c r="L16" s="38" t="str">
        <x:f>IF(COUNT(C16:J16)&lt;8,"",SUM(C16:J16))</x:f>
      </x:c>
      <x:c r="M16" s="38" t="str">
        <x:f>IF(A16="","",IF(B16="Table stake","TABLE STAKE",IF(K16&lt;&gt;"Yes","EXPERIMENT / INPUT REQUIRED",IF(OR(C16&lt;3,F16&lt;3,G16&lt;3,J16&lt;3),"HOLD",IF(L16&gt;='Field Inputs'!$E$33,"DIFFERENTIATOR CANDIDATE","EXPERIMENT")))))</x:f>
        <x:v>EXPERIMENT / INPUT REQUIRED</x:v>
      </x:c>
      <x:c r="N16" s="49"/>
      <x:c r="O16" s="49"/>
    </x:row>
    <x:row r="17">
      <x:c r="A17" s="25" t="str">
        <x:v>Assortment Learning Loop</x:v>
      </x:c>
      <x:c r="B17" s="25" t="str">
        <x:v>System component</x:v>
      </x:c>
      <x:c r="C17" s="49"/>
      <x:c r="D17" s="49"/>
      <x:c r="E17" s="49"/>
      <x:c r="F17" s="49"/>
      <x:c r="G17" s="49"/>
      <x:c r="H17" s="49"/>
      <x:c r="I17" s="49"/>
      <x:c r="J17" s="49"/>
      <x:c r="K17" s="49"/>
      <x:c r="L17" s="38" t="str">
        <x:f>IF(COUNT(C17:J17)&lt;8,"",SUM(C17:J17))</x:f>
      </x:c>
      <x:c r="M17" s="38" t="str">
        <x:f>IF(A17="","",IF(B17="Table stake","TABLE STAKE",IF(K17&lt;&gt;"Yes","EXPERIMENT / INPUT REQUIRED",IF(OR(C17&lt;3,F17&lt;3,G17&lt;3,J17&lt;3),"HOLD",IF(L17&gt;='Field Inputs'!$E$33,"DIFFERENTIATOR CANDIDATE","EXPERIMENT")))))</x:f>
        <x:v>EXPERIMENT / INPUT REQUIRED</x:v>
      </x:c>
      <x:c r="N17" s="49"/>
      <x:c r="O17" s="49"/>
    </x:row>
    <x:row r="18">
      <x:c r="A18" s="25" t="str">
        <x:v>Premium interior, hospitality and packaging</x:v>
      </x:c>
      <x:c r="B18" s="25" t="str">
        <x:v>Supporting element</x:v>
      </x:c>
      <x:c r="C18" s="49"/>
      <x:c r="D18" s="49"/>
      <x:c r="E18" s="49"/>
      <x:c r="F18" s="49"/>
      <x:c r="G18" s="49"/>
      <x:c r="H18" s="49"/>
      <x:c r="I18" s="49"/>
      <x:c r="J18" s="49"/>
      <x:c r="K18" s="49"/>
      <x:c r="L18" s="38" t="str">
        <x:f>IF(COUNT(C18:J18)&lt;8,"",SUM(C18:J18))</x:f>
      </x:c>
      <x:c r="M18" s="38" t="str">
        <x:f>IF(A18="","",IF(B18="Table stake","TABLE STAKE",IF(K18&lt;&gt;"Yes","EXPERIMENT / INPUT REQUIRED",IF(OR(C18&lt;3,F18&lt;3,G18&lt;3,J18&lt;3),"HOLD",IF(L18&gt;='Field Inputs'!$E$33,"DIFFERENTIATOR CANDIDATE","EXPERIMENT")))))</x:f>
        <x:v>EXPERIMENT / INPUT REQUIRED</x:v>
      </x:c>
      <x:c r="N18" s="49"/>
      <x:c r="O18" s="49"/>
    </x:row>
  </x:sheetData>
  <x:mergeCells>
    <x:mergeCell ref="A1:O1"/>
    <x:mergeCell ref="A2:O2"/>
  </x:mergeCells>
  <x:dataValidations count="2">
    <x:dataValidation type="whole" operator="between" sqref="C7:J18">
      <x:formula1>0</x:formula1>
      <x:formula2>5</x:formula2>
    </x:dataValidation>
    <x:dataValidation type="list" sqref="K7:K18">
      <x:formula1>"No,Yes"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4" hidden="0" customWidth="1"/>
  </x:cols>
  <x:sheetData>
    <x:row r="1" ht="34" customHeight="1">
      <x:c r="A1" s="4" t="str">
        <x:v>Model Checks</x:v>
      </x:c>
    </x:row>
    <x:row r="2" ht="30" customHeight="1">
      <x:c r="A2" s="7" t="str">
        <x:v>RESEARCH OPEN is expected while required field inputs are blank. READY FOR FOUNDER REVIEW still does not approve the flagship.</x:v>
      </x:c>
    </x:row>
    <x:row r="4">
      <x:c r="A4" s="21" t="str">
        <x:v>MODEL STATUS</x:v>
      </x:c>
      <x:c r="B4" s="17" t="str">
        <x:f>IF(COUNTIF(F7:F14,"REVIEW")&gt;0,"RESEARCH OPEN","READY FOR FOUNDER REVIEW")</x:f>
        <x:v>RESEARCH OPEN</x:v>
      </x:c>
    </x:row>
    <x:row r="6" ht="34" customHeight="1">
      <x:c r="A6" s="24" t="str">
        <x:v>Check</x:v>
      </x:c>
      <x:c r="B6" s="24" t="str">
        <x:v>Actual</x:v>
      </x:c>
      <x:c r="C6" s="24" t="str">
        <x:v>Expected</x:v>
      </x:c>
      <x:c r="D6" s="24" t="str">
        <x:v>Difference / issue</x:v>
      </x:c>
      <x:c r="E6" s="24" t="str">
        <x:v>Tolerance</x:v>
      </x:c>
      <x:c r="F6" s="24" t="str">
        <x:v>Status</x:v>
      </x:c>
      <x:c r="G6" s="24" t="str">
        <x:v>Where to fix</x:v>
      </x:c>
    </x:row>
    <x:row r="7">
      <x:c r="A7" s="25" t="str">
        <x:v>Verified public inputs populated</x:v>
      </x:c>
      <x:c r="B7" s="38" t="n">
        <x:f>COUNT('Public Inputs'!C7:C17)</x:f>
        <x:v>11</x:v>
      </x:c>
      <x:c r="C7" s="25" t="n">
        <x:v>11</x:v>
      </x:c>
      <x:c r="D7" s="52" t="n">
        <x:f>B7-C7</x:f>
        <x:v>0</x:v>
      </x:c>
      <x:c r="E7" s="25" t="n">
        <x:v>0</x:v>
      </x:c>
      <x:c r="F7" s="52" t="str">
        <x:f>IF(ABS(D7)&lt;=E7,"OK","REVIEW")</x:f>
        <x:v>OK</x:v>
      </x:c>
      <x:c r="G7" s="25" t="str">
        <x:v>Public Inputs / Sources</x:v>
      </x:c>
    </x:row>
    <x:row r="8">
      <x:c r="A8" s="25" t="str">
        <x:v>Base field operating inputs populated (F001–F019)</x:v>
      </x:c>
      <x:c r="B8" s="38" t="n">
        <x:f>COUNT('Field Inputs'!E7:E25)</x:f>
        <x:v>0</x:v>
      </x:c>
      <x:c r="C8" s="25" t="n">
        <x:v>19</x:v>
      </x:c>
      <x:c r="D8" s="52" t="n">
        <x:f>C8-B8</x:f>
        <x:v>19</x:v>
      </x:c>
      <x:c r="E8" s="25" t="n">
        <x:v>0</x:v>
      </x:c>
      <x:c r="F8" s="52" t="str">
        <x:f>IF(ABS(D8)&lt;=E8,"OK","REVIEW")</x:f>
        <x:v>REVIEW</x:v>
      </x:c>
      <x:c r="G8" s="25" t="str">
        <x:v>Field Inputs</x:v>
      </x:c>
    </x:row>
    <x:row r="9">
      <x:c r="A9" s="25" t="str">
        <x:v>Two independent base demand methods available</x:v>
      </x:c>
      <x:c r="B9" s="38" t="n">
        <x:f>COUNT('Market Sizing'!C10:C11)</x:f>
        <x:v>0</x:v>
      </x:c>
      <x:c r="C9" s="25" t="n">
        <x:v>2</x:v>
      </x:c>
      <x:c r="D9" s="52" t="n">
        <x:f>C9-B9</x:f>
        <x:v>2</x:v>
      </x:c>
      <x:c r="E9" s="25" t="n">
        <x:v>0</x:v>
      </x:c>
      <x:c r="F9" s="52" t="str">
        <x:f>IF(ABS(D9)&lt;=E9,"OK","REVIEW")</x:f>
        <x:v>REVIEW</x:v>
      </x:c>
      <x:c r="G9" s="25" t="str">
        <x:v>Market Sizing</x:v>
      </x:c>
    </x:row>
    <x:row r="10">
      <x:c r="A10" s="25" t="str">
        <x:v>Base capture/break-even bridge complete</x:v>
      </x:c>
      <x:c r="B10" s="38" t="n">
        <x:f>COUNT('Capture &amp; BE'!C7:C20)</x:f>
        <x:v>1</x:v>
      </x:c>
      <x:c r="C10" s="25" t="n">
        <x:v>13</x:v>
      </x:c>
      <x:c r="D10" s="52" t="n">
        <x:f>C10-B10</x:f>
        <x:v>12</x:v>
      </x:c>
      <x:c r="E10" s="25" t="n">
        <x:v>0</x:v>
      </x:c>
      <x:c r="F10" s="52" t="str">
        <x:f>IF(ABS(D10)&lt;=E10,"OK","REVIEW")</x:f>
        <x:v>REVIEW</x:v>
      </x:c>
      <x:c r="G10" s="25" t="str">
        <x:v>Capture &amp; BE</x:v>
      </x:c>
    </x:row>
    <x:row r="11">
      <x:c r="A11" s="25" t="str">
        <x:v>Assortment candidate missing evidence reference</x:v>
      </x:c>
      <x:c r="B11" s="38" t="n">
        <x:f>COUNTIFS('Assortment Gate'!AC7:AC66,"CANDIDATE",'Assortment Gate'!AE7:AE66,"")</x:f>
        <x:v>0</x:v>
      </x:c>
      <x:c r="C11" s="25" t="n">
        <x:v>0</x:v>
      </x:c>
      <x:c r="D11" s="52" t="n">
        <x:f>B11</x:f>
        <x:v>0</x:v>
      </x:c>
      <x:c r="E11" s="25" t="n">
        <x:v>0</x:v>
      </x:c>
      <x:c r="F11" s="52" t="str">
        <x:f>IF(ABS(D11)&lt;=E11,"OK","REVIEW")</x:f>
        <x:v>OK</x:v>
      </x:c>
      <x:c r="G11" s="25" t="str">
        <x:v>Assortment Gate evidence reference</x:v>
      </x:c>
    </x:row>
    <x:row r="12">
      <x:c r="A12" s="25" t="str">
        <x:v>Assortment candidate with failed/held mandatory gate</x:v>
      </x:c>
      <x:c r="B12" s="38" t="n">
        <x:f>COUNTIFS('Assortment Gate'!AC7:AC66,"CANDIDATE",'Assortment Gate'!AA7:AA66,"&lt;&gt;Pass")+COUNTIFS('Assortment Gate'!AC7:AC66,"CANDIDATE",'Assortment Gate'!AB7:AB66,"&lt;&gt;Pass")</x:f>
        <x:v>0</x:v>
      </x:c>
      <x:c r="C12" s="25" t="n">
        <x:v>0</x:v>
      </x:c>
      <x:c r="D12" s="52" t="n">
        <x:f>B12</x:f>
        <x:v>0</x:v>
      </x:c>
      <x:c r="E12" s="25" t="n">
        <x:v>0</x:v>
      </x:c>
      <x:c r="F12" s="52" t="str">
        <x:f>IF(ABS(D12)&lt;=E12,"OK","REVIEW")</x:f>
        <x:v>OK</x:v>
      </x:c>
      <x:c r="G12" s="25" t="str">
        <x:v>Assortment Gate demand/commercial gate</x:v>
      </x:c>
    </x:row>
    <x:row r="13">
      <x:c r="A13" s="25" t="str">
        <x:v>Defensibility candidate missing evidence reference</x:v>
      </x:c>
      <x:c r="B13" s="38" t="n">
        <x:f>COUNTIFS('Defensibility'!M7:M18,"DIFFERENTIATOR CANDIDATE",'Defensibility'!N7:N18,"")</x:f>
        <x:v>0</x:v>
      </x:c>
      <x:c r="C13" s="25" t="n">
        <x:v>0</x:v>
      </x:c>
      <x:c r="D13" s="52" t="n">
        <x:f>B13</x:f>
        <x:v>0</x:v>
      </x:c>
      <x:c r="E13" s="25" t="n">
        <x:v>0</x:v>
      </x:c>
      <x:c r="F13" s="52" t="str">
        <x:f>IF(ABS(D13)&lt;=E13,"OK","REVIEW")</x:f>
        <x:v>OK</x:v>
      </x:c>
      <x:c r="G13" s="25" t="str">
        <x:v>Defensibility evidence reference</x:v>
      </x:c>
    </x:row>
    <x:row r="14">
      <x:c r="A14" s="25" t="str">
        <x:v>Founder approval mistakenly represented in workbook</x:v>
      </x:c>
      <x:c r="B14" s="38" t="n">
        <x:f>COUNTIF('Defensibility'!M7:M18,"*APPROVED*")+COUNTIF('Assortment Gate'!AC7:AC66,"*APPROVED*")+COUNTIF('Capture &amp; BE'!B21:D21,"*APPROVED*")</x:f>
        <x:v>0</x:v>
      </x:c>
      <x:c r="C14" s="25" t="n">
        <x:v>0</x:v>
      </x:c>
      <x:c r="D14" s="52" t="n">
        <x:f>B14</x:f>
        <x:v>0</x:v>
      </x:c>
      <x:c r="E14" s="25" t="n">
        <x:v>0</x:v>
      </x:c>
      <x:c r="F14" s="52" t="str">
        <x:f>IF(ABS(D14)&lt;=E14,"OK","REVIEW")</x:f>
        <x:v>OK</x:v>
      </x:c>
      <x:c r="G14" s="25" t="str">
        <x:v>Remove approval language; use decision records</x:v>
      </x:c>
    </x:row>
  </x:sheetData>
  <x:mergeCells>
    <x:mergeCell ref="A1:G1"/>
    <x:mergeCell ref="A2:G2"/>
  </x:mergeCells>
  <x:conditionalFormatting sqref="F7:F14">
    <x:cfRule type="containsText" dxfId="0" priority="1" operator="containsText" text="OK"/>
    <x:cfRule type="containsText" dxfId="1" priority="2" operator="containsText" text="REVIEW"/>
  </x:conditionalFormatting>
  <x:pageMargins left="0.7" right="0.7" top="0.75" bottom="0.75" header="0.3" footer="0.3"/>
</x:worksheet>
</file>