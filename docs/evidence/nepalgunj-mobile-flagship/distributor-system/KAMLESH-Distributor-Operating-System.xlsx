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e708a5a1749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374edccb23694247"/>
    <x:sheet xmlns:r="http://schemas.openxmlformats.org/officeDocument/2006/relationships" name="Proposal Comparison" sheetId="2" r:id="R995a6ce600814818"/>
    <x:sheet xmlns:r="http://schemas.openxmlformats.org/officeDocument/2006/relationships" name="Term Economics" sheetId="3" r:id="Ree06a9c031454b0e"/>
    <x:sheet xmlns:r="http://schemas.openxmlformats.org/officeDocument/2006/relationships" name="Price Protection" sheetId="4" r:id="R61758b8837ac414b"/>
    <x:sheet xmlns:r="http://schemas.openxmlformats.org/officeDocument/2006/relationships" name="Brand Support" sheetId="5" r:id="R99547631b1c7434b"/>
    <x:sheet xmlns:r="http://schemas.openxmlformats.org/officeDocument/2006/relationships" name="Claims" sheetId="6" r:id="R4c891f037e3b4005"/>
    <x:sheet xmlns:r="http://schemas.openxmlformats.org/officeDocument/2006/relationships" name="Purchases" sheetId="7" r:id="Rc97f32a6c3ae4c4c"/>
    <x:sheet xmlns:r="http://schemas.openxmlformats.org/officeDocument/2006/relationships" name="Controls" sheetId="8" r:id="Red20c5ef6d844d3b"/>
    <x:sheet xmlns:r="http://schemas.openxmlformats.org/officeDocument/2006/relationships" name="Sources" sheetId="9" r:id="R5cf58d62eb204a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#,##0"/>
    <x:numFmt numFmtId="202" formatCode="0.00x"/>
    <x:numFmt numFmtId="203" formatCode="0"/>
    <x:numFmt numFmtId="204" formatCode="yyyy-mm-dd"/>
    <x:numFmt numFmtId="205" formatCode="0%"/>
  </x:numFmts>
  <x:fonts count="8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0B1F33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sz val="11"/>
      <x:color rgb="FF004C8C"/>
      <x:name val="Carlito"/>
    </x:font>
    <x:font>
      <x:sz val="11"/>
      <x:color rgb="FF0B1F3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D4A72C"/>
      </x:patternFill>
    </x:fill>
    <x:fill>
      <x:patternFill patternType="solid">
        <x:fgColor rgb="FFE8EEF3"/>
      </x:patternFill>
    </x:fill>
    <x:fill>
      <x:patternFill patternType="solid">
        <x:fgColor rgb="FFFFF4CC"/>
      </x:patternFill>
    </x:fill>
    <x:fill>
      <x:patternFill patternType="solid">
        <x:fgColor rgb="FFD9EAF7"/>
      </x:patternFill>
    </x:fill>
    <x:fill>
      <x:patternFill patternType="solid">
        <x:fgColor rgb="FFF3F4F6"/>
      </x:patternFill>
    </x:fill>
  </x:fills>
  <x:borders count="3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" xfId="0" applyNumberFormat="1" applyFont="1" applyFill="1" applyBorder="1"/>
    <x:xf numFmtId="200" fontId="7" fillId="9" borderId="1" xfId="0" applyNumberFormat="1" applyFont="1" applyFill="1" applyBorder="1"/>
    <x:xf numFmtId="201" fontId="6" fillId="8" borderId="1" xfId="0" applyNumberFormat="1" applyFont="1" applyFill="1" applyBorder="1"/>
    <x:xf numFmtId="202" fontId="7" fillId="9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200" fontId="7" fillId="9" borderId="1" xfId="0" applyNumberFormat="1" applyFont="1" applyFill="1" applyBorder="1" applyAlignment="1">
      <x:alignment wrapText="1"/>
    </x:xf>
    <x:xf numFmtId="201" fontId="6" fillId="8" borderId="1" xfId="0" applyNumberFormat="1" applyFont="1" applyFill="1" applyBorder="1" applyAlignment="1">
      <x:alignment wrapText="1"/>
    </x:xf>
    <x:xf numFmtId="202" fontId="7" fillId="9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wrapText="1"/>
    </x:xf>
    <x:xf numFmtId="203" fontId="7" fillId="9" borderId="1" xfId="0" applyNumberFormat="1" applyFont="1" applyFill="1" applyBorder="1"/>
    <x:xf numFmtId="201" fontId="7" fillId="9" borderId="1" xfId="0" applyNumberFormat="1" applyFont="1" applyFill="1" applyBorder="1"/>
    <x:xf numFmtId="204" fontId="6" fillId="8" borderId="1" xfId="0" applyNumberFormat="1" applyFont="1" applyFill="1" applyBorder="1"/>
    <x:xf numFmtId="205" fontId="6" fillId="8" borderId="1" xfId="0" applyNumberFormat="1" applyFont="1" applyFill="1" applyBorder="1"/>
    <x:xf numFmtId="205" fontId="7" fillId="9" borderId="1" xfId="0" applyNumberFormat="1" applyFont="1" applyFill="1" applyBorder="1"/>
    <x:xf numFmtId="204" fontId="7" fillId="9" borderId="1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155E3B"/>
      </x:font>
      <x:fill>
        <x:patternFill patternType="solid">
          <x:bgColor rgb="FFDDF2E7"/>
        </x:patternFill>
      </x:fill>
    </x:dxf>
    <x:dxf>
      <x:font>
        <x:b/>
        <x:color rgb="FF9B1C1C"/>
      </x:font>
      <x:fill>
        <x:patternFill patternType="solid">
          <x:bgColor rgb="FFFCE1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9018e498f943d0" /><Relationship Type="http://schemas.openxmlformats.org/officeDocument/2006/relationships/theme" Target="/xl/theme/theme1.xml" Id="R217408aed35b4b5b" /><Relationship Type="http://schemas.openxmlformats.org/officeDocument/2006/relationships/sharedStrings" Target="/xl/sharedStrings.xml" Id="R6577f6af79564c2d" /><Relationship Type="http://schemas.openxmlformats.org/officeDocument/2006/relationships/worksheet" Target="/xl/worksheets/sheet1.xml" Id="R374edccb23694247" /><Relationship Type="http://schemas.openxmlformats.org/officeDocument/2006/relationships/worksheet" Target="/xl/worksheets/sheet2.xml" Id="R995a6ce600814818" /><Relationship Type="http://schemas.openxmlformats.org/officeDocument/2006/relationships/worksheet" Target="/xl/worksheets/sheet3.xml" Id="Ree06a9c031454b0e" /><Relationship Type="http://schemas.openxmlformats.org/officeDocument/2006/relationships/worksheet" Target="/xl/worksheets/sheet4.xml" Id="R61758b8837ac414b" /><Relationship Type="http://schemas.openxmlformats.org/officeDocument/2006/relationships/worksheet" Target="/xl/worksheets/sheet5.xml" Id="R99547631b1c7434b" /><Relationship Type="http://schemas.openxmlformats.org/officeDocument/2006/relationships/worksheet" Target="/xl/worksheets/sheet6.xml" Id="R4c891f037e3b4005" /><Relationship Type="http://schemas.openxmlformats.org/officeDocument/2006/relationships/worksheet" Target="/xl/worksheets/sheet7.xml" Id="Rc97f32a6c3ae4c4c" /><Relationship Type="http://schemas.openxmlformats.org/officeDocument/2006/relationships/worksheet" Target="/xl/worksheets/sheet8.xml" Id="Red20c5ef6d844d3b" /><Relationship Type="http://schemas.openxmlformats.org/officeDocument/2006/relationships/worksheet" Target="/xl/worksheets/sheet9.xml" Id="R5cf58d62eb204a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40" customHeight="1">
      <x:c r="A1" s="4" t="str">
        <x:v>KAMLESH Distributor Operating System</x:v>
      </x:c>
    </x:row>
    <x:row r="4">
      <x:c r="A4" s="7" t="str">
        <x:v>Workbook version</x:v>
      </x:c>
      <x:c r="B4" s="10" t="str">
        <x:v>1.1</x:v>
      </x:c>
    </x:row>
    <x:row r="5">
      <x:c r="A5" s="7" t="str">
        <x:v>Issued</x:v>
      </x:c>
      <x:c r="B5" s="10" t="str">
        <x:v>2026-08-15</x:v>
      </x:c>
    </x:row>
    <x:row r="6">
      <x:c r="A6" s="7" t="str">
        <x:v>Status</x:v>
      </x:c>
      <x:c r="B6" s="10" t="str">
        <x:v>Controlled planning tool — partner evidence pending</x:v>
      </x:c>
    </x:row>
    <x:row r="7">
      <x:c r="A7" s="7" t="str">
        <x:v>Planning scenario</x:v>
      </x:c>
      <x:c r="B7" s="10" t="str">
        <x:v>NPR 60 lakh BG-supported purchasing + NPR 10 lakh proposed bank-approved working capital</x:v>
      </x:c>
    </x:row>
    <x:row r="8">
      <x:c r="A8" s="7" t="str">
        <x:v>Owner</x:v>
      </x:c>
      <x:c r="B8" s="10" t="str">
        <x:v>Founder until Commercial/Finance owners are appointed</x:v>
      </x:c>
    </x:row>
    <x:row r="9">
      <x:c r="A9" s="7" t="str">
        <x:v>Blue cells</x:v>
      </x:c>
      <x:c r="B9" s="10" t="str">
        <x:v>Inputs or evidence references</x:v>
      </x:c>
    </x:row>
    <x:row r="10">
      <x:c r="A10" s="7" t="str">
        <x:v>Grey cells</x:v>
      </x:c>
      <x:c r="B10" s="10" t="str">
        <x:v>Calculated outputs</x:v>
      </x:c>
    </x:row>
    <x:row r="11">
      <x:c r="A11" s="7" t="str">
        <x:v>Important</x:v>
      </x:c>
      <x:c r="B11" s="10" t="str">
        <x:v>A score never overrides a failed legal, authorisation, warranty, downside-cash or security gate.</x:v>
      </x:c>
    </x:row>
    <x:row r="13">
      <x:c r="A13" s="12" t="str">
        <x:v>Operating sequence</x:v>
      </x:c>
    </x:row>
    <x:row r="14" ht="24" customHeight="1">
      <x:c r="A14" s="10" t="str">
        <x:v>1. Enter only dated written terms; label verbal statements outside this workbook.</x:v>
      </x:c>
      <x:c r="B14" s="10"/>
      <x:c r="C14" s="10"/>
      <x:c r="D14" s="10"/>
      <x:c r="E14" s="10"/>
      <x:c r="F14" s="10"/>
      <x:c r="G14" s="10"/>
      <x:c r="H14" s="10"/>
    </x:row>
    <x:row r="15" ht="24" customHeight="1">
      <x:c r="A15" s="10" t="str">
        <x:v>2. Compare equivalent VAT-exclusive quotation baskets and time periods.</x:v>
      </x:c>
      <x:c r="B15" s="10"/>
      <x:c r="C15" s="10"/>
      <x:c r="D15" s="10"/>
      <x:c r="E15" s="10"/>
      <x:c r="F15" s="10"/>
      <x:c r="G15" s="10"/>
      <x:c r="H15" s="10"/>
    </x:row>
    <x:row r="16" ht="24" customHeight="1">
      <x:c r="A16" s="10" t="str">
        <x:v>3. Set unreceived claims/support to zero in downside cash.</x:v>
      </x:c>
      <x:c r="B16" s="10"/>
      <x:c r="C16" s="10"/>
      <x:c r="D16" s="10"/>
      <x:c r="E16" s="10"/>
      <x:c r="F16" s="10"/>
      <x:c r="G16" s="10"/>
      <x:c r="H16" s="10"/>
    </x:row>
    <x:row r="17" ht="24" customHeight="1">
      <x:c r="A17" s="10" t="str">
        <x:v>4. Review exact BG, collateral, consignment, VAT and title wording with qualified advisers.</x:v>
      </x:c>
      <x:c r="B17" s="10"/>
      <x:c r="C17" s="10"/>
      <x:c r="D17" s="10"/>
      <x:c r="E17" s="10"/>
      <x:c r="F17" s="10"/>
      <x:c r="G17" s="10"/>
      <x:c r="H17" s="10"/>
    </x:row>
    <x:row r="18" ht="24" customHeight="1">
      <x:c r="A18" s="10" t="str">
        <x:v>5. Purchase only demand-proven SKUs within due-date and liquidity gates.</x:v>
      </x:c>
      <x:c r="B18" s="10"/>
      <x:c r="C18" s="10"/>
      <x:c r="D18" s="10"/>
      <x:c r="E18" s="10"/>
      <x:c r="F18" s="10"/>
      <x:c r="G18" s="10"/>
      <x:c r="H18" s="10"/>
    </x:row>
    <x:row r="19" ht="24" customHeight="1">
      <x:c r="A19" s="10" t="str">
        <x:v>6. Reconcile purchases, claims, support and consignment stock weekly.</x:v>
      </x:c>
      <x:c r="B19" s="10"/>
      <x:c r="C19" s="10"/>
      <x:c r="D19" s="10"/>
      <x:c r="E19" s="10"/>
      <x:c r="F19" s="10"/>
      <x:c r="G19" s="10"/>
      <x:c r="H19" s="10"/>
    </x:row>
    <x:row r="20" ht="24" customHeight="1">
      <x:c r="A20" s="10" t="str">
        <x:v>7. Record founder approvals outside the workbook and link the evidence reference.</x:v>
      </x:c>
      <x:c r="B20" s="10"/>
      <x:c r="C20" s="10"/>
      <x:c r="D20" s="10"/>
      <x:c r="E20" s="10"/>
      <x:c r="F20" s="10"/>
      <x:c r="G20" s="10"/>
      <x:c r="H20" s="10"/>
    </x:row>
  </x:sheetData>
  <x:mergeCells>
    <x:mergeCell ref="A1:H2"/>
    <x:mergeCell ref="A13:H13"/>
    <x:mergeCell ref="A14:H14"/>
    <x:mergeCell ref="A15:H15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28" hidden="0" customWidth="1"/>
  </x:cols>
  <x:sheetData>
    <x:row r="1" ht="30" customHeight="1">
      <x:c r="A1" s="14" t="str">
        <x:v>Proposal Comparison</x:v>
      </x:c>
    </x:row>
    <x:row r="2" ht="32" customHeight="1">
      <x:c r="A2" s="17" t="str">
        <x:v>Blue = evidence-backed input. Ratings are 0–5. Mandatory gates and cash cover override the weighted score.</x:v>
      </x:c>
    </x:row>
    <x:row r="4">
      <x:c r="A4" s="19" t="str">
        <x:v>Default cash-cover warning: 1.20 (hypothesis; founder must approve actual threshold)</x:v>
      </x:c>
    </x:row>
    <x:row r="6" ht="32" customHeight="1">
      <x:c r="A6" s="22" t="str">
        <x:v>Supplier</x:v>
      </x:c>
      <x:c r="B6" s="22" t="str">
        <x:v>Brand</x:v>
      </x:c>
      <x:c r="C6" s="22" t="str">
        <x:v>Structure</x:v>
      </x:c>
      <x:c r="D6" s="22" t="str">
        <x:v>Authorisation</x:v>
      </x:c>
      <x:c r="E6" s="22" t="str">
        <x:v>VAT/MDMS</x:v>
      </x:c>
      <x:c r="F6" s="22" t="str">
        <x:v>DOA/Warranty</x:v>
      </x:c>
      <x:c r="G6" s="22" t="str">
        <x:v>Title/legal</x:v>
      </x:c>
      <x:c r="H6" s="22" t="str">
        <x:v>Margin rating</x:v>
      </x:c>
      <x:c r="I6" s="22" t="str">
        <x:v>Credit/BG rating</x:v>
      </x:c>
      <x:c r="J6" s="22" t="str">
        <x:v>Price protection</x:v>
      </x:c>
      <x:c r="K6" s="22" t="str">
        <x:v>Service</x:v>
      </x:c>
      <x:c r="L6" s="22" t="str">
        <x:v>Rotation</x:v>
      </x:c>
      <x:c r="M6" s="22" t="str">
        <x:v>Supply</x:v>
      </x:c>
      <x:c r="N6" s="22" t="str">
        <x:v>Support</x:v>
      </x:c>
      <x:c r="O6" s="22" t="str">
        <x:v>Channel conflict</x:v>
      </x:c>
      <x:c r="P6" s="22" t="str">
        <x:v>Weighted score</x:v>
      </x:c>
      <x:c r="Q6" s="22" t="str">
        <x:v>Amount due NPR</x:v>
      </x:c>
      <x:c r="R6" s="22" t="str">
        <x:v>Forecast sold cost by due</x:v>
      </x:c>
      <x:c r="S6" s="22" t="str">
        <x:v>Unrestricted cash by due</x:v>
      </x:c>
      <x:c r="T6" s="22" t="str">
        <x:v>Sell-through cover</x:v>
      </x:c>
      <x:c r="U6" s="22" t="str">
        <x:v>Cash due cover</x:v>
      </x:c>
      <x:c r="V6" s="22" t="str">
        <x:v>Commercial gate</x:v>
      </x:c>
      <x:c r="W6" s="22" t="str">
        <x:v>Decision</x:v>
      </x:c>
      <x:c r="X6" s="22" t="str">
        <x:v>Evidence reference</x:v>
      </x:c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3" t="str">
        <x:f>IF(A7="","",H7*15/5+I7*15/5+J7*15/5+K7*15/5+L7*10/5+M7*10/5+N7*10/5+O7*10/5)</x:f>
      </x:c>
      <x:c r="Q7" s="34"/>
      <x:c r="R7" s="34"/>
      <x:c r="S7" s="34"/>
      <x:c r="T7" s="35" t="str">
        <x:f>IF(A7="","",IF(Q7=0,0,R7/Q7))</x:f>
      </x:c>
      <x:c r="U7" s="35" t="str">
        <x:f>IF(A7="","",IF(Q7=0,0,S7/Q7))</x:f>
      </x:c>
      <x:c r="V7" s="36" t="str">
        <x:f>IF(A7="","",IF(AND(D7="Pass",E7="Pass",F7="Pass",G7="Pass",T7&gt;=1,U7&gt;=1.2),"Pass","Hold"))</x:f>
      </x:c>
      <x:c r="W7" s="36" t="str">
        <x:f>IF(A7="","",IF(V7&lt;&gt;"Pass","HOLD",IF(P7&gt;=75,"APPROVE CANDIDATE",IF(P7&gt;=60,"CONDITIONAL","RENEGOTIATE/REJECT"))))</x:f>
      </x:c>
      <x:c r="X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3" t="str">
        <x:f>IF(A8="","",H8*15/5+I8*15/5+J8*15/5+K8*15/5+L8*10/5+M8*10/5+N8*10/5+O8*10/5)</x:f>
      </x:c>
      <x:c r="Q8" s="34"/>
      <x:c r="R8" s="34"/>
      <x:c r="S8" s="34"/>
      <x:c r="T8" s="35" t="str">
        <x:f>IF(A8="","",IF(Q8=0,0,R8/Q8))</x:f>
      </x:c>
      <x:c r="U8" s="35" t="str">
        <x:f>IF(A8="","",IF(Q8=0,0,S8/Q8))</x:f>
      </x:c>
      <x:c r="V8" s="36" t="str">
        <x:f>IF(A8="","",IF(AND(D8="Pass",E8="Pass",F8="Pass",G8="Pass",T8&gt;=1,U8&gt;=1.2),"Pass","Hold"))</x:f>
      </x:c>
      <x:c r="W8" s="36" t="str">
        <x:f>IF(A8="","",IF(V8&lt;&gt;"Pass","HOLD",IF(P8&gt;=75,"APPROVE CANDIDATE",IF(P8&gt;=60,"CONDITIONAL","RENEGOTIATE/REJECT"))))</x:f>
      </x:c>
      <x:c r="X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3" t="str">
        <x:f>IF(A9="","",H9*15/5+I9*15/5+J9*15/5+K9*15/5+L9*10/5+M9*10/5+N9*10/5+O9*10/5)</x:f>
      </x:c>
      <x:c r="Q9" s="34"/>
      <x:c r="R9" s="34"/>
      <x:c r="S9" s="34"/>
      <x:c r="T9" s="35" t="str">
        <x:f>IF(A9="","",IF(Q9=0,0,R9/Q9))</x:f>
      </x:c>
      <x:c r="U9" s="35" t="str">
        <x:f>IF(A9="","",IF(Q9=0,0,S9/Q9))</x:f>
      </x:c>
      <x:c r="V9" s="36" t="str">
        <x:f>IF(A9="","",IF(AND(D9="Pass",E9="Pass",F9="Pass",G9="Pass",T9&gt;=1,U9&gt;=1.2),"Pass","Hold"))</x:f>
      </x:c>
      <x:c r="W9" s="36" t="str">
        <x:f>IF(A9="","",IF(V9&lt;&gt;"Pass","HOLD",IF(P9&gt;=75,"APPROVE CANDIDATE",IF(P9&gt;=60,"CONDITIONAL","RENEGOTIATE/REJECT"))))</x:f>
      </x:c>
      <x:c r="X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3" t="str">
        <x:f>IF(A10="","",H10*15/5+I10*15/5+J10*15/5+K10*15/5+L10*10/5+M10*10/5+N10*10/5+O10*10/5)</x:f>
      </x:c>
      <x:c r="Q10" s="34"/>
      <x:c r="R10" s="34"/>
      <x:c r="S10" s="34"/>
      <x:c r="T10" s="35" t="str">
        <x:f>IF(A10="","",IF(Q10=0,0,R10/Q10))</x:f>
      </x:c>
      <x:c r="U10" s="35" t="str">
        <x:f>IF(A10="","",IF(Q10=0,0,S10/Q10))</x:f>
      </x:c>
      <x:c r="V10" s="36" t="str">
        <x:f>IF(A10="","",IF(AND(D10="Pass",E10="Pass",F10="Pass",G10="Pass",T10&gt;=1,U10&gt;=1.2),"Pass","Hold"))</x:f>
      </x:c>
      <x:c r="W10" s="36" t="str">
        <x:f>IF(A10="","",IF(V10&lt;&gt;"Pass","HOLD",IF(P10&gt;=75,"APPROVE CANDIDATE",IF(P10&gt;=60,"CONDITIONAL","RENEGOTIATE/REJECT"))))</x:f>
      </x:c>
      <x:c r="X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3" t="str">
        <x:f>IF(A11="","",H11*15/5+I11*15/5+J11*15/5+K11*15/5+L11*10/5+M11*10/5+N11*10/5+O11*10/5)</x:f>
      </x:c>
      <x:c r="Q11" s="34"/>
      <x:c r="R11" s="34"/>
      <x:c r="S11" s="34"/>
      <x:c r="T11" s="35" t="str">
        <x:f>IF(A11="","",IF(Q11=0,0,R11/Q11))</x:f>
      </x:c>
      <x:c r="U11" s="35" t="str">
        <x:f>IF(A11="","",IF(Q11=0,0,S11/Q11))</x:f>
      </x:c>
      <x:c r="V11" s="36" t="str">
        <x:f>IF(A11="","",IF(AND(D11="Pass",E11="Pass",F11="Pass",G11="Pass",T11&gt;=1,U11&gt;=1.2),"Pass","Hold"))</x:f>
      </x:c>
      <x:c r="W11" s="36" t="str">
        <x:f>IF(A11="","",IF(V11&lt;&gt;"Pass","HOLD",IF(P11&gt;=75,"APPROVE CANDIDATE",IF(P11&gt;=60,"CONDITIONAL","RENEGOTIATE/REJECT"))))</x:f>
      </x:c>
      <x:c r="X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3" t="str">
        <x:f>IF(A12="","",H12*15/5+I12*15/5+J12*15/5+K12*15/5+L12*10/5+M12*10/5+N12*10/5+O12*10/5)</x:f>
      </x:c>
      <x:c r="Q12" s="34"/>
      <x:c r="R12" s="34"/>
      <x:c r="S12" s="34"/>
      <x:c r="T12" s="35" t="str">
        <x:f>IF(A12="","",IF(Q12=0,0,R12/Q12))</x:f>
      </x:c>
      <x:c r="U12" s="35" t="str">
        <x:f>IF(A12="","",IF(Q12=0,0,S12/Q12))</x:f>
      </x:c>
      <x:c r="V12" s="36" t="str">
        <x:f>IF(A12="","",IF(AND(D12="Pass",E12="Pass",F12="Pass",G12="Pass",T12&gt;=1,U12&gt;=1.2),"Pass","Hold"))</x:f>
      </x:c>
      <x:c r="W12" s="36" t="str">
        <x:f>IF(A12="","",IF(V12&lt;&gt;"Pass","HOLD",IF(P12&gt;=75,"APPROVE CANDIDATE",IF(P12&gt;=60,"CONDITIONAL","RENEGOTIATE/REJECT"))))</x:f>
      </x:c>
      <x:c r="X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3" t="str">
        <x:f>IF(A13="","",H13*15/5+I13*15/5+J13*15/5+K13*15/5+L13*10/5+M13*10/5+N13*10/5+O13*10/5)</x:f>
      </x:c>
      <x:c r="Q13" s="34"/>
      <x:c r="R13" s="34"/>
      <x:c r="S13" s="34"/>
      <x:c r="T13" s="35" t="str">
        <x:f>IF(A13="","",IF(Q13=0,0,R13/Q13))</x:f>
      </x:c>
      <x:c r="U13" s="35" t="str">
        <x:f>IF(A13="","",IF(Q13=0,0,S13/Q13))</x:f>
      </x:c>
      <x:c r="V13" s="36" t="str">
        <x:f>IF(A13="","",IF(AND(D13="Pass",E13="Pass",F13="Pass",G13="Pass",T13&gt;=1,U13&gt;=1.2),"Pass","Hold"))</x:f>
      </x:c>
      <x:c r="W13" s="36" t="str">
        <x:f>IF(A13="","",IF(V13&lt;&gt;"Pass","HOLD",IF(P13&gt;=75,"APPROVE CANDIDATE",IF(P13&gt;=60,"CONDITIONAL","RENEGOTIATE/REJECT"))))</x:f>
      </x:c>
      <x:c r="X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3" t="str">
        <x:f>IF(A14="","",H14*15/5+I14*15/5+J14*15/5+K14*15/5+L14*10/5+M14*10/5+N14*10/5+O14*10/5)</x:f>
      </x:c>
      <x:c r="Q14" s="34"/>
      <x:c r="R14" s="34"/>
      <x:c r="S14" s="34"/>
      <x:c r="T14" s="35" t="str">
        <x:f>IF(A14="","",IF(Q14=0,0,R14/Q14))</x:f>
      </x:c>
      <x:c r="U14" s="35" t="str">
        <x:f>IF(A14="","",IF(Q14=0,0,S14/Q14))</x:f>
      </x:c>
      <x:c r="V14" s="36" t="str">
        <x:f>IF(A14="","",IF(AND(D14="Pass",E14="Pass",F14="Pass",G14="Pass",T14&gt;=1,U14&gt;=1.2),"Pass","Hold"))</x:f>
      </x:c>
      <x:c r="W14" s="36" t="str">
        <x:f>IF(A14="","",IF(V14&lt;&gt;"Pass","HOLD",IF(P14&gt;=75,"APPROVE CANDIDATE",IF(P14&gt;=60,"CONDITIONAL","RENEGOTIATE/REJECT"))))</x:f>
      </x:c>
      <x:c r="X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3" t="str">
        <x:f>IF(A15="","",H15*15/5+I15*15/5+J15*15/5+K15*15/5+L15*10/5+M15*10/5+N15*10/5+O15*10/5)</x:f>
      </x:c>
      <x:c r="Q15" s="34"/>
      <x:c r="R15" s="34"/>
      <x:c r="S15" s="34"/>
      <x:c r="T15" s="35" t="str">
        <x:f>IF(A15="","",IF(Q15=0,0,R15/Q15))</x:f>
      </x:c>
      <x:c r="U15" s="35" t="str">
        <x:f>IF(A15="","",IF(Q15=0,0,S15/Q15))</x:f>
      </x:c>
      <x:c r="V15" s="36" t="str">
        <x:f>IF(A15="","",IF(AND(D15="Pass",E15="Pass",F15="Pass",G15="Pass",T15&gt;=1,U15&gt;=1.2),"Pass","Hold"))</x:f>
      </x:c>
      <x:c r="W15" s="36" t="str">
        <x:f>IF(A15="","",IF(V15&lt;&gt;"Pass","HOLD",IF(P15&gt;=75,"APPROVE CANDIDATE",IF(P15&gt;=60,"CONDITIONAL","RENEGOTIATE/REJECT"))))</x:f>
      </x:c>
      <x:c r="X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3" t="str">
        <x:f>IF(A16="","",H16*15/5+I16*15/5+J16*15/5+K16*15/5+L16*10/5+M16*10/5+N16*10/5+O16*10/5)</x:f>
      </x:c>
      <x:c r="Q16" s="34"/>
      <x:c r="R16" s="34"/>
      <x:c r="S16" s="34"/>
      <x:c r="T16" s="35" t="str">
        <x:f>IF(A16="","",IF(Q16=0,0,R16/Q16))</x:f>
      </x:c>
      <x:c r="U16" s="35" t="str">
        <x:f>IF(A16="","",IF(Q16=0,0,S16/Q16))</x:f>
      </x:c>
      <x:c r="V16" s="36" t="str">
        <x:f>IF(A16="","",IF(AND(D16="Pass",E16="Pass",F16="Pass",G16="Pass",T16&gt;=1,U16&gt;=1.2),"Pass","Hold"))</x:f>
      </x:c>
      <x:c r="W16" s="36" t="str">
        <x:f>IF(A16="","",IF(V16&lt;&gt;"Pass","HOLD",IF(P16&gt;=75,"APPROVE CANDIDATE",IF(P16&gt;=60,"CONDITIONAL","RENEGOTIATE/REJECT"))))</x:f>
      </x:c>
      <x:c r="X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3" t="str">
        <x:f>IF(A17="","",H17*15/5+I17*15/5+J17*15/5+K17*15/5+L17*10/5+M17*10/5+N17*10/5+O17*10/5)</x:f>
      </x:c>
      <x:c r="Q17" s="34"/>
      <x:c r="R17" s="34"/>
      <x:c r="S17" s="34"/>
      <x:c r="T17" s="35" t="str">
        <x:f>IF(A17="","",IF(Q17=0,0,R17/Q17))</x:f>
      </x:c>
      <x:c r="U17" s="35" t="str">
        <x:f>IF(A17="","",IF(Q17=0,0,S17/Q17))</x:f>
      </x:c>
      <x:c r="V17" s="36" t="str">
        <x:f>IF(A17="","",IF(AND(D17="Pass",E17="Pass",F17="Pass",G17="Pass",T17&gt;=1,U17&gt;=1.2),"Pass","Hold"))</x:f>
      </x:c>
      <x:c r="W17" s="36" t="str">
        <x:f>IF(A17="","",IF(V17&lt;&gt;"Pass","HOLD",IF(P17&gt;=75,"APPROVE CANDIDATE",IF(P17&gt;=60,"CONDITIONAL","RENEGOTIATE/REJECT"))))</x:f>
      </x:c>
      <x:c r="X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3" t="str">
        <x:f>IF(A18="","",H18*15/5+I18*15/5+J18*15/5+K18*15/5+L18*10/5+M18*10/5+N18*10/5+O18*10/5)</x:f>
      </x:c>
      <x:c r="Q18" s="34"/>
      <x:c r="R18" s="34"/>
      <x:c r="S18" s="34"/>
      <x:c r="T18" s="35" t="str">
        <x:f>IF(A18="","",IF(Q18=0,0,R18/Q18))</x:f>
      </x:c>
      <x:c r="U18" s="35" t="str">
        <x:f>IF(A18="","",IF(Q18=0,0,S18/Q18))</x:f>
      </x:c>
      <x:c r="V18" s="36" t="str">
        <x:f>IF(A18="","",IF(AND(D18="Pass",E18="Pass",F18="Pass",G18="Pass",T18&gt;=1,U18&gt;=1.2),"Pass","Hold"))</x:f>
      </x:c>
      <x:c r="W18" s="36" t="str">
        <x:f>IF(A18="","",IF(V18&lt;&gt;"Pass","HOLD",IF(P18&gt;=75,"APPROVE CANDIDATE",IF(P18&gt;=60,"CONDITIONAL","RENEGOTIATE/REJECT"))))</x:f>
      </x:c>
      <x:c r="X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3" t="str">
        <x:f>IF(A19="","",H19*15/5+I19*15/5+J19*15/5+K19*15/5+L19*10/5+M19*10/5+N19*10/5+O19*10/5)</x:f>
      </x:c>
      <x:c r="Q19" s="34"/>
      <x:c r="R19" s="34"/>
      <x:c r="S19" s="34"/>
      <x:c r="T19" s="35" t="str">
        <x:f>IF(A19="","",IF(Q19=0,0,R19/Q19))</x:f>
      </x:c>
      <x:c r="U19" s="35" t="str">
        <x:f>IF(A19="","",IF(Q19=0,0,S19/Q19))</x:f>
      </x:c>
      <x:c r="V19" s="36" t="str">
        <x:f>IF(A19="","",IF(AND(D19="Pass",E19="Pass",F19="Pass",G19="Pass",T19&gt;=1,U19&gt;=1.2),"Pass","Hold"))</x:f>
      </x:c>
      <x:c r="W19" s="36" t="str">
        <x:f>IF(A19="","",IF(V19&lt;&gt;"Pass","HOLD",IF(P19&gt;=75,"APPROVE CANDIDATE",IF(P19&gt;=60,"CONDITIONAL","RENEGOTIATE/REJECT"))))</x:f>
      </x:c>
      <x:c r="X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3" t="str">
        <x:f>IF(A20="","",H20*15/5+I20*15/5+J20*15/5+K20*15/5+L20*10/5+M20*10/5+N20*10/5+O20*10/5)</x:f>
      </x:c>
      <x:c r="Q20" s="34"/>
      <x:c r="R20" s="34"/>
      <x:c r="S20" s="34"/>
      <x:c r="T20" s="35" t="str">
        <x:f>IF(A20="","",IF(Q20=0,0,R20/Q20))</x:f>
      </x:c>
      <x:c r="U20" s="35" t="str">
        <x:f>IF(A20="","",IF(Q20=0,0,S20/Q20))</x:f>
      </x:c>
      <x:c r="V20" s="36" t="str">
        <x:f>IF(A20="","",IF(AND(D20="Pass",E20="Pass",F20="Pass",G20="Pass",T20&gt;=1,U20&gt;=1.2),"Pass","Hold"))</x:f>
      </x:c>
      <x:c r="W20" s="36" t="str">
        <x:f>IF(A20="","",IF(V20&lt;&gt;"Pass","HOLD",IF(P20&gt;=75,"APPROVE CANDIDATE",IF(P20&gt;=60,"CONDITIONAL","RENEGOTIATE/REJECT"))))</x:f>
      </x:c>
      <x:c r="X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3" t="str">
        <x:f>IF(A21="","",H21*15/5+I21*15/5+J21*15/5+K21*15/5+L21*10/5+M21*10/5+N21*10/5+O21*10/5)</x:f>
      </x:c>
      <x:c r="Q21" s="34"/>
      <x:c r="R21" s="34"/>
      <x:c r="S21" s="34"/>
      <x:c r="T21" s="35" t="str">
        <x:f>IF(A21="","",IF(Q21=0,0,R21/Q21))</x:f>
      </x:c>
      <x:c r="U21" s="35" t="str">
        <x:f>IF(A21="","",IF(Q21=0,0,S21/Q21))</x:f>
      </x:c>
      <x:c r="V21" s="36" t="str">
        <x:f>IF(A21="","",IF(AND(D21="Pass",E21="Pass",F21="Pass",G21="Pass",T21&gt;=1,U21&gt;=1.2),"Pass","Hold"))</x:f>
      </x:c>
      <x:c r="W21" s="36" t="str">
        <x:f>IF(A21="","",IF(V21&lt;&gt;"Pass","HOLD",IF(P21&gt;=75,"APPROVE CANDIDATE",IF(P21&gt;=60,"CONDITIONAL","RENEGOTIATE/REJECT"))))</x:f>
      </x:c>
      <x:c r="X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3" t="str">
        <x:f>IF(A22="","",H22*15/5+I22*15/5+J22*15/5+K22*15/5+L22*10/5+M22*10/5+N22*10/5+O22*10/5)</x:f>
      </x:c>
      <x:c r="Q22" s="34"/>
      <x:c r="R22" s="34"/>
      <x:c r="S22" s="34"/>
      <x:c r="T22" s="35" t="str">
        <x:f>IF(A22="","",IF(Q22=0,0,R22/Q22))</x:f>
      </x:c>
      <x:c r="U22" s="35" t="str">
        <x:f>IF(A22="","",IF(Q22=0,0,S22/Q22))</x:f>
      </x:c>
      <x:c r="V22" s="36" t="str">
        <x:f>IF(A22="","",IF(AND(D22="Pass",E22="Pass",F22="Pass",G22="Pass",T22&gt;=1,U22&gt;=1.2),"Pass","Hold"))</x:f>
      </x:c>
      <x:c r="W22" s="36" t="str">
        <x:f>IF(A22="","",IF(V22&lt;&gt;"Pass","HOLD",IF(P22&gt;=75,"APPROVE CANDIDATE",IF(P22&gt;=60,"CONDITIONAL","RENEGOTIATE/REJECT"))))</x:f>
      </x:c>
      <x:c r="X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3" t="str">
        <x:f>IF(A23="","",H23*15/5+I23*15/5+J23*15/5+K23*15/5+L23*10/5+M23*10/5+N23*10/5+O23*10/5)</x:f>
      </x:c>
      <x:c r="Q23" s="34"/>
      <x:c r="R23" s="34"/>
      <x:c r="S23" s="34"/>
      <x:c r="T23" s="35" t="str">
        <x:f>IF(A23="","",IF(Q23=0,0,R23/Q23))</x:f>
      </x:c>
      <x:c r="U23" s="35" t="str">
        <x:f>IF(A23="","",IF(Q23=0,0,S23/Q23))</x:f>
      </x:c>
      <x:c r="V23" s="36" t="str">
        <x:f>IF(A23="","",IF(AND(D23="Pass",E23="Pass",F23="Pass",G23="Pass",T23&gt;=1,U23&gt;=1.2),"Pass","Hold"))</x:f>
      </x:c>
      <x:c r="W23" s="36" t="str">
        <x:f>IF(A23="","",IF(V23&lt;&gt;"Pass","HOLD",IF(P23&gt;=75,"APPROVE CANDIDATE",IF(P23&gt;=60,"CONDITIONAL","RENEGOTIATE/REJECT"))))</x:f>
      </x:c>
      <x:c r="X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3" t="str">
        <x:f>IF(A24="","",H24*15/5+I24*15/5+J24*15/5+K24*15/5+L24*10/5+M24*10/5+N24*10/5+O24*10/5)</x:f>
      </x:c>
      <x:c r="Q24" s="34"/>
      <x:c r="R24" s="34"/>
      <x:c r="S24" s="34"/>
      <x:c r="T24" s="35" t="str">
        <x:f>IF(A24="","",IF(Q24=0,0,R24/Q24))</x:f>
      </x:c>
      <x:c r="U24" s="35" t="str">
        <x:f>IF(A24="","",IF(Q24=0,0,S24/Q24))</x:f>
      </x:c>
      <x:c r="V24" s="36" t="str">
        <x:f>IF(A24="","",IF(AND(D24="Pass",E24="Pass",F24="Pass",G24="Pass",T24&gt;=1,U24&gt;=1.2),"Pass","Hold"))</x:f>
      </x:c>
      <x:c r="W24" s="36" t="str">
        <x:f>IF(A24="","",IF(V24&lt;&gt;"Pass","HOLD",IF(P24&gt;=75,"APPROVE CANDIDATE",IF(P24&gt;=60,"CONDITIONAL","RENEGOTIATE/REJECT"))))</x:f>
      </x:c>
      <x:c r="X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3" t="str">
        <x:f>IF(A25="","",H25*15/5+I25*15/5+J25*15/5+K25*15/5+L25*10/5+M25*10/5+N25*10/5+O25*10/5)</x:f>
      </x:c>
      <x:c r="Q25" s="34"/>
      <x:c r="R25" s="34"/>
      <x:c r="S25" s="34"/>
      <x:c r="T25" s="35" t="str">
        <x:f>IF(A25="","",IF(Q25=0,0,R25/Q25))</x:f>
      </x:c>
      <x:c r="U25" s="35" t="str">
        <x:f>IF(A25="","",IF(Q25=0,0,S25/Q25))</x:f>
      </x:c>
      <x:c r="V25" s="36" t="str">
        <x:f>IF(A25="","",IF(AND(D25="Pass",E25="Pass",F25="Pass",G25="Pass",T25&gt;=1,U25&gt;=1.2),"Pass","Hold"))</x:f>
      </x:c>
      <x:c r="W25" s="36" t="str">
        <x:f>IF(A25="","",IF(V25&lt;&gt;"Pass","HOLD",IF(P25&gt;=75,"APPROVE CANDIDATE",IF(P25&gt;=60,"CONDITIONAL","RENEGOTIATE/REJECT"))))</x:f>
      </x:c>
      <x:c r="X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3" t="str">
        <x:f>IF(A26="","",H26*15/5+I26*15/5+J26*15/5+K26*15/5+L26*10/5+M26*10/5+N26*10/5+O26*10/5)</x:f>
      </x:c>
      <x:c r="Q26" s="34"/>
      <x:c r="R26" s="34"/>
      <x:c r="S26" s="34"/>
      <x:c r="T26" s="35" t="str">
        <x:f>IF(A26="","",IF(Q26=0,0,R26/Q26))</x:f>
      </x:c>
      <x:c r="U26" s="35" t="str">
        <x:f>IF(A26="","",IF(Q26=0,0,S26/Q26))</x:f>
      </x:c>
      <x:c r="V26" s="36" t="str">
        <x:f>IF(A26="","",IF(AND(D26="Pass",E26="Pass",F26="Pass",G26="Pass",T26&gt;=1,U26&gt;=1.2),"Pass","Hold"))</x:f>
      </x:c>
      <x:c r="W26" s="36" t="str">
        <x:f>IF(A26="","",IF(V26&lt;&gt;"Pass","HOLD",IF(P26&gt;=75,"APPROVE CANDIDATE",IF(P26&gt;=60,"CONDITIONAL","RENEGOTIATE/REJECT"))))</x:f>
      </x:c>
      <x:c r="X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3" t="str">
        <x:f>IF(A27="","",H27*15/5+I27*15/5+J27*15/5+K27*15/5+L27*10/5+M27*10/5+N27*10/5+O27*10/5)</x:f>
      </x:c>
      <x:c r="Q27" s="34"/>
      <x:c r="R27" s="34"/>
      <x:c r="S27" s="34"/>
      <x:c r="T27" s="35" t="str">
        <x:f>IF(A27="","",IF(Q27=0,0,R27/Q27))</x:f>
      </x:c>
      <x:c r="U27" s="35" t="str">
        <x:f>IF(A27="","",IF(Q27=0,0,S27/Q27))</x:f>
      </x:c>
      <x:c r="V27" s="36" t="str">
        <x:f>IF(A27="","",IF(AND(D27="Pass",E27="Pass",F27="Pass",G27="Pass",T27&gt;=1,U27&gt;=1.2),"Pass","Hold"))</x:f>
      </x:c>
      <x:c r="W27" s="36" t="str">
        <x:f>IF(A27="","",IF(V27&lt;&gt;"Pass","HOLD",IF(P27&gt;=75,"APPROVE CANDIDATE",IF(P27&gt;=60,"CONDITIONAL","RENEGOTIATE/REJECT"))))</x:f>
      </x:c>
      <x:c r="X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3" t="str">
        <x:f>IF(A28="","",H28*15/5+I28*15/5+J28*15/5+K28*15/5+L28*10/5+M28*10/5+N28*10/5+O28*10/5)</x:f>
      </x:c>
      <x:c r="Q28" s="34"/>
      <x:c r="R28" s="34"/>
      <x:c r="S28" s="34"/>
      <x:c r="T28" s="35" t="str">
        <x:f>IF(A28="","",IF(Q28=0,0,R28/Q28))</x:f>
      </x:c>
      <x:c r="U28" s="35" t="str">
        <x:f>IF(A28="","",IF(Q28=0,0,S28/Q28))</x:f>
      </x:c>
      <x:c r="V28" s="36" t="str">
        <x:f>IF(A28="","",IF(AND(D28="Pass",E28="Pass",F28="Pass",G28="Pass",T28&gt;=1,U28&gt;=1.2),"Pass","Hold"))</x:f>
      </x:c>
      <x:c r="W28" s="36" t="str">
        <x:f>IF(A28="","",IF(V28&lt;&gt;"Pass","HOLD",IF(P28&gt;=75,"APPROVE CANDIDATE",IF(P28&gt;=60,"CONDITIONAL","RENEGOTIATE/REJECT"))))</x:f>
      </x:c>
      <x:c r="X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3" t="str">
        <x:f>IF(A29="","",H29*15/5+I29*15/5+J29*15/5+K29*15/5+L29*10/5+M29*10/5+N29*10/5+O29*10/5)</x:f>
      </x:c>
      <x:c r="Q29" s="34"/>
      <x:c r="R29" s="34"/>
      <x:c r="S29" s="34"/>
      <x:c r="T29" s="35" t="str">
        <x:f>IF(A29="","",IF(Q29=0,0,R29/Q29))</x:f>
      </x:c>
      <x:c r="U29" s="35" t="str">
        <x:f>IF(A29="","",IF(Q29=0,0,S29/Q29))</x:f>
      </x:c>
      <x:c r="V29" s="36" t="str">
        <x:f>IF(A29="","",IF(AND(D29="Pass",E29="Pass",F29="Pass",G29="Pass",T29&gt;=1,U29&gt;=1.2),"Pass","Hold"))</x:f>
      </x:c>
      <x:c r="W29" s="36" t="str">
        <x:f>IF(A29="","",IF(V29&lt;&gt;"Pass","HOLD",IF(P29&gt;=75,"APPROVE CANDIDATE",IF(P29&gt;=60,"CONDITIONAL","RENEGOTIATE/REJECT"))))</x:f>
      </x:c>
      <x:c r="X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3" t="str">
        <x:f>IF(A30="","",H30*15/5+I30*15/5+J30*15/5+K30*15/5+L30*10/5+M30*10/5+N30*10/5+O30*10/5)</x:f>
      </x:c>
      <x:c r="Q30" s="34"/>
      <x:c r="R30" s="34"/>
      <x:c r="S30" s="34"/>
      <x:c r="T30" s="35" t="str">
        <x:f>IF(A30="","",IF(Q30=0,0,R30/Q30))</x:f>
      </x:c>
      <x:c r="U30" s="35" t="str">
        <x:f>IF(A30="","",IF(Q30=0,0,S30/Q30))</x:f>
      </x:c>
      <x:c r="V30" s="36" t="str">
        <x:f>IF(A30="","",IF(AND(D30="Pass",E30="Pass",F30="Pass",G30="Pass",T30&gt;=1,U30&gt;=1.2),"Pass","Hold"))</x:f>
      </x:c>
      <x:c r="W30" s="36" t="str">
        <x:f>IF(A30="","",IF(V30&lt;&gt;"Pass","HOLD",IF(P30&gt;=75,"APPROVE CANDIDATE",IF(P30&gt;=60,"CONDITIONAL","RENEGOTIATE/REJECT"))))</x:f>
      </x:c>
      <x:c r="X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3" t="str">
        <x:f>IF(A31="","",H31*15/5+I31*15/5+J31*15/5+K31*15/5+L31*10/5+M31*10/5+N31*10/5+O31*10/5)</x:f>
      </x:c>
      <x:c r="Q31" s="34"/>
      <x:c r="R31" s="34"/>
      <x:c r="S31" s="34"/>
      <x:c r="T31" s="35" t="str">
        <x:f>IF(A31="","",IF(Q31=0,0,R31/Q31))</x:f>
      </x:c>
      <x:c r="U31" s="35" t="str">
        <x:f>IF(A31="","",IF(Q31=0,0,S31/Q31))</x:f>
      </x:c>
      <x:c r="V31" s="36" t="str">
        <x:f>IF(A31="","",IF(AND(D31="Pass",E31="Pass",F31="Pass",G31="Pass",T31&gt;=1,U31&gt;=1.2),"Pass","Hold"))</x:f>
      </x:c>
      <x:c r="W31" s="36" t="str">
        <x:f>IF(A31="","",IF(V31&lt;&gt;"Pass","HOLD",IF(P31&gt;=75,"APPROVE CANDIDATE",IF(P31&gt;=60,"CONDITIONAL","RENEGOTIATE/REJECT"))))</x:f>
      </x:c>
      <x:c r="X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3" t="str">
        <x:f>IF(A32="","",H32*15/5+I32*15/5+J32*15/5+K32*15/5+L32*10/5+M32*10/5+N32*10/5+O32*10/5)</x:f>
      </x:c>
      <x:c r="Q32" s="34"/>
      <x:c r="R32" s="34"/>
      <x:c r="S32" s="34"/>
      <x:c r="T32" s="35" t="str">
        <x:f>IF(A32="","",IF(Q32=0,0,R32/Q32))</x:f>
      </x:c>
      <x:c r="U32" s="35" t="str">
        <x:f>IF(A32="","",IF(Q32=0,0,S32/Q32))</x:f>
      </x:c>
      <x:c r="V32" s="36" t="str">
        <x:f>IF(A32="","",IF(AND(D32="Pass",E32="Pass",F32="Pass",G32="Pass",T32&gt;=1,U32&gt;=1.2),"Pass","Hold"))</x:f>
      </x:c>
      <x:c r="W32" s="36" t="str">
        <x:f>IF(A32="","",IF(V32&lt;&gt;"Pass","HOLD",IF(P32&gt;=75,"APPROVE CANDIDATE",IF(P32&gt;=60,"CONDITIONAL","RENEGOTIATE/REJECT"))))</x:f>
      </x:c>
      <x:c r="X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3" t="str">
        <x:f>IF(A33="","",H33*15/5+I33*15/5+J33*15/5+K33*15/5+L33*10/5+M33*10/5+N33*10/5+O33*10/5)</x:f>
      </x:c>
      <x:c r="Q33" s="34"/>
      <x:c r="R33" s="34"/>
      <x:c r="S33" s="34"/>
      <x:c r="T33" s="35" t="str">
        <x:f>IF(A33="","",IF(Q33=0,0,R33/Q33))</x:f>
      </x:c>
      <x:c r="U33" s="35" t="str">
        <x:f>IF(A33="","",IF(Q33=0,0,S33/Q33))</x:f>
      </x:c>
      <x:c r="V33" s="36" t="str">
        <x:f>IF(A33="","",IF(AND(D33="Pass",E33="Pass",F33="Pass",G33="Pass",T33&gt;=1,U33&gt;=1.2),"Pass","Hold"))</x:f>
      </x:c>
      <x:c r="W33" s="36" t="str">
        <x:f>IF(A33="","",IF(V33&lt;&gt;"Pass","HOLD",IF(P33&gt;=75,"APPROVE CANDIDATE",IF(P33&gt;=60,"CONDITIONAL","RENEGOTIATE/REJECT"))))</x:f>
      </x:c>
      <x:c r="X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3" t="str">
        <x:f>IF(A34="","",H34*15/5+I34*15/5+J34*15/5+K34*15/5+L34*10/5+M34*10/5+N34*10/5+O34*10/5)</x:f>
      </x:c>
      <x:c r="Q34" s="34"/>
      <x:c r="R34" s="34"/>
      <x:c r="S34" s="34"/>
      <x:c r="T34" s="35" t="str">
        <x:f>IF(A34="","",IF(Q34=0,0,R34/Q34))</x:f>
      </x:c>
      <x:c r="U34" s="35" t="str">
        <x:f>IF(A34="","",IF(Q34=0,0,S34/Q34))</x:f>
      </x:c>
      <x:c r="V34" s="36" t="str">
        <x:f>IF(A34="","",IF(AND(D34="Pass",E34="Pass",F34="Pass",G34="Pass",T34&gt;=1,U34&gt;=1.2),"Pass","Hold"))</x:f>
      </x:c>
      <x:c r="W34" s="36" t="str">
        <x:f>IF(A34="","",IF(V34&lt;&gt;"Pass","HOLD",IF(P34&gt;=75,"APPROVE CANDIDATE",IF(P34&gt;=60,"CONDITIONAL","RENEGOTIATE/REJECT"))))</x:f>
      </x:c>
      <x:c r="X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3" t="str">
        <x:f>IF(A35="","",H35*15/5+I35*15/5+J35*15/5+K35*15/5+L35*10/5+M35*10/5+N35*10/5+O35*10/5)</x:f>
      </x:c>
      <x:c r="Q35" s="34"/>
      <x:c r="R35" s="34"/>
      <x:c r="S35" s="34"/>
      <x:c r="T35" s="35" t="str">
        <x:f>IF(A35="","",IF(Q35=0,0,R35/Q35))</x:f>
      </x:c>
      <x:c r="U35" s="35" t="str">
        <x:f>IF(A35="","",IF(Q35=0,0,S35/Q35))</x:f>
      </x:c>
      <x:c r="V35" s="36" t="str">
        <x:f>IF(A35="","",IF(AND(D35="Pass",E35="Pass",F35="Pass",G35="Pass",T35&gt;=1,U35&gt;=1.2),"Pass","Hold"))</x:f>
      </x:c>
      <x:c r="W35" s="36" t="str">
        <x:f>IF(A35="","",IF(V35&lt;&gt;"Pass","HOLD",IF(P35&gt;=75,"APPROVE CANDIDATE",IF(P35&gt;=60,"CONDITIONAL","RENEGOTIATE/REJECT"))))</x:f>
      </x:c>
      <x:c r="X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3" t="str">
        <x:f>IF(A36="","",H36*15/5+I36*15/5+J36*15/5+K36*15/5+L36*10/5+M36*10/5+N36*10/5+O36*10/5)</x:f>
      </x:c>
      <x:c r="Q36" s="34"/>
      <x:c r="R36" s="34"/>
      <x:c r="S36" s="34"/>
      <x:c r="T36" s="35" t="str">
        <x:f>IF(A36="","",IF(Q36=0,0,R36/Q36))</x:f>
      </x:c>
      <x:c r="U36" s="35" t="str">
        <x:f>IF(A36="","",IF(Q36=0,0,S36/Q36))</x:f>
      </x:c>
      <x:c r="V36" s="36" t="str">
        <x:f>IF(A36="","",IF(AND(D36="Pass",E36="Pass",F36="Pass",G36="Pass",T36&gt;=1,U36&gt;=1.2),"Pass","Hold"))</x:f>
      </x:c>
      <x:c r="W36" s="36" t="str">
        <x:f>IF(A36="","",IF(V36&lt;&gt;"Pass","HOLD",IF(P36&gt;=75,"APPROVE CANDIDATE",IF(P36&gt;=60,"CONDITIONAL","RENEGOTIATE/REJECT"))))</x:f>
      </x:c>
      <x:c r="X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3" t="str">
        <x:f>IF(A37="","",H37*15/5+I37*15/5+J37*15/5+K37*15/5+L37*10/5+M37*10/5+N37*10/5+O37*10/5)</x:f>
      </x:c>
      <x:c r="Q37" s="34"/>
      <x:c r="R37" s="34"/>
      <x:c r="S37" s="34"/>
      <x:c r="T37" s="35" t="str">
        <x:f>IF(A37="","",IF(Q37=0,0,R37/Q37))</x:f>
      </x:c>
      <x:c r="U37" s="35" t="str">
        <x:f>IF(A37="","",IF(Q37=0,0,S37/Q37))</x:f>
      </x:c>
      <x:c r="V37" s="36" t="str">
        <x:f>IF(A37="","",IF(AND(D37="Pass",E37="Pass",F37="Pass",G37="Pass",T37&gt;=1,U37&gt;=1.2),"Pass","Hold"))</x:f>
      </x:c>
      <x:c r="W37" s="36" t="str">
        <x:f>IF(A37="","",IF(V37&lt;&gt;"Pass","HOLD",IF(P37&gt;=75,"APPROVE CANDIDATE",IF(P37&gt;=60,"CONDITIONAL","RENEGOTIATE/REJECT"))))</x:f>
      </x:c>
      <x:c r="X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3" t="str">
        <x:f>IF(A38="","",H38*15/5+I38*15/5+J38*15/5+K38*15/5+L38*10/5+M38*10/5+N38*10/5+O38*10/5)</x:f>
      </x:c>
      <x:c r="Q38" s="34"/>
      <x:c r="R38" s="34"/>
      <x:c r="S38" s="34"/>
      <x:c r="T38" s="35" t="str">
        <x:f>IF(A38="","",IF(Q38=0,0,R38/Q38))</x:f>
      </x:c>
      <x:c r="U38" s="35" t="str">
        <x:f>IF(A38="","",IF(Q38=0,0,S38/Q38))</x:f>
      </x:c>
      <x:c r="V38" s="36" t="str">
        <x:f>IF(A38="","",IF(AND(D38="Pass",E38="Pass",F38="Pass",G38="Pass",T38&gt;=1,U38&gt;=1.2),"Pass","Hold"))</x:f>
      </x:c>
      <x:c r="W38" s="36" t="str">
        <x:f>IF(A38="","",IF(V38&lt;&gt;"Pass","HOLD",IF(P38&gt;=75,"APPROVE CANDIDATE",IF(P38&gt;=60,"CONDITIONAL","RENEGOTIATE/REJECT"))))</x:f>
      </x:c>
      <x:c r="X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3" t="str">
        <x:f>IF(A39="","",H39*15/5+I39*15/5+J39*15/5+K39*15/5+L39*10/5+M39*10/5+N39*10/5+O39*10/5)</x:f>
      </x:c>
      <x:c r="Q39" s="34"/>
      <x:c r="R39" s="34"/>
      <x:c r="S39" s="34"/>
      <x:c r="T39" s="35" t="str">
        <x:f>IF(A39="","",IF(Q39=0,0,R39/Q39))</x:f>
      </x:c>
      <x:c r="U39" s="35" t="str">
        <x:f>IF(A39="","",IF(Q39=0,0,S39/Q39))</x:f>
      </x:c>
      <x:c r="V39" s="36" t="str">
        <x:f>IF(A39="","",IF(AND(D39="Pass",E39="Pass",F39="Pass",G39="Pass",T39&gt;=1,U39&gt;=1.2),"Pass","Hold"))</x:f>
      </x:c>
      <x:c r="W39" s="36" t="str">
        <x:f>IF(A39="","",IF(V39&lt;&gt;"Pass","HOLD",IF(P39&gt;=75,"APPROVE CANDIDATE",IF(P39&gt;=60,"CONDITIONAL","RENEGOTIATE/REJECT"))))</x:f>
      </x:c>
      <x:c r="X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3" t="str">
        <x:f>IF(A40="","",H40*15/5+I40*15/5+J40*15/5+K40*15/5+L40*10/5+M40*10/5+N40*10/5+O40*10/5)</x:f>
      </x:c>
      <x:c r="Q40" s="34"/>
      <x:c r="R40" s="34"/>
      <x:c r="S40" s="34"/>
      <x:c r="T40" s="35" t="str">
        <x:f>IF(A40="","",IF(Q40=0,0,R40/Q40))</x:f>
      </x:c>
      <x:c r="U40" s="35" t="str">
        <x:f>IF(A40="","",IF(Q40=0,0,S40/Q40))</x:f>
      </x:c>
      <x:c r="V40" s="36" t="str">
        <x:f>IF(A40="","",IF(AND(D40="Pass",E40="Pass",F40="Pass",G40="Pass",T40&gt;=1,U40&gt;=1.2),"Pass","Hold"))</x:f>
      </x:c>
      <x:c r="W40" s="36" t="str">
        <x:f>IF(A40="","",IF(V40&lt;&gt;"Pass","HOLD",IF(P40&gt;=75,"APPROVE CANDIDATE",IF(P40&gt;=60,"CONDITIONAL","RENEGOTIATE/REJECT"))))</x:f>
      </x:c>
      <x:c r="X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3" t="str">
        <x:f>IF(A41="","",H41*15/5+I41*15/5+J41*15/5+K41*15/5+L41*10/5+M41*10/5+N41*10/5+O41*10/5)</x:f>
      </x:c>
      <x:c r="Q41" s="34"/>
      <x:c r="R41" s="34"/>
      <x:c r="S41" s="34"/>
      <x:c r="T41" s="35" t="str">
        <x:f>IF(A41="","",IF(Q41=0,0,R41/Q41))</x:f>
      </x:c>
      <x:c r="U41" s="35" t="str">
        <x:f>IF(A41="","",IF(Q41=0,0,S41/Q41))</x:f>
      </x:c>
      <x:c r="V41" s="36" t="str">
        <x:f>IF(A41="","",IF(AND(D41="Pass",E41="Pass",F41="Pass",G41="Pass",T41&gt;=1,U41&gt;=1.2),"Pass","Hold"))</x:f>
      </x:c>
      <x:c r="W41" s="36" t="str">
        <x:f>IF(A41="","",IF(V41&lt;&gt;"Pass","HOLD",IF(P41&gt;=75,"APPROVE CANDIDATE",IF(P41&gt;=60,"CONDITIONAL","RENEGOTIATE/REJECT"))))</x:f>
      </x:c>
      <x:c r="X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3" t="str">
        <x:f>IF(A42="","",H42*15/5+I42*15/5+J42*15/5+K42*15/5+L42*10/5+M42*10/5+N42*10/5+O42*10/5)</x:f>
      </x:c>
      <x:c r="Q42" s="34"/>
      <x:c r="R42" s="34"/>
      <x:c r="S42" s="34"/>
      <x:c r="T42" s="35" t="str">
        <x:f>IF(A42="","",IF(Q42=0,0,R42/Q42))</x:f>
      </x:c>
      <x:c r="U42" s="35" t="str">
        <x:f>IF(A42="","",IF(Q42=0,0,S42/Q42))</x:f>
      </x:c>
      <x:c r="V42" s="36" t="str">
        <x:f>IF(A42="","",IF(AND(D42="Pass",E42="Pass",F42="Pass",G42="Pass",T42&gt;=1,U42&gt;=1.2),"Pass","Hold"))</x:f>
      </x:c>
      <x:c r="W42" s="36" t="str">
        <x:f>IF(A42="","",IF(V42&lt;&gt;"Pass","HOLD",IF(P42&gt;=75,"APPROVE CANDIDATE",IF(P42&gt;=60,"CONDITIONAL","RENEGOTIATE/REJECT"))))</x:f>
      </x:c>
      <x:c r="X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3" t="str">
        <x:f>IF(A43="","",H43*15/5+I43*15/5+J43*15/5+K43*15/5+L43*10/5+M43*10/5+N43*10/5+O43*10/5)</x:f>
      </x:c>
      <x:c r="Q43" s="34"/>
      <x:c r="R43" s="34"/>
      <x:c r="S43" s="34"/>
      <x:c r="T43" s="35" t="str">
        <x:f>IF(A43="","",IF(Q43=0,0,R43/Q43))</x:f>
      </x:c>
      <x:c r="U43" s="35" t="str">
        <x:f>IF(A43="","",IF(Q43=0,0,S43/Q43))</x:f>
      </x:c>
      <x:c r="V43" s="36" t="str">
        <x:f>IF(A43="","",IF(AND(D43="Pass",E43="Pass",F43="Pass",G43="Pass",T43&gt;=1,U43&gt;=1.2),"Pass","Hold"))</x:f>
      </x:c>
      <x:c r="W43" s="36" t="str">
        <x:f>IF(A43="","",IF(V43&lt;&gt;"Pass","HOLD",IF(P43&gt;=75,"APPROVE CANDIDATE",IF(P43&gt;=60,"CONDITIONAL","RENEGOTIATE/REJECT"))))</x:f>
      </x:c>
      <x:c r="X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3" t="str">
        <x:f>IF(A44="","",H44*15/5+I44*15/5+J44*15/5+K44*15/5+L44*10/5+M44*10/5+N44*10/5+O44*10/5)</x:f>
      </x:c>
      <x:c r="Q44" s="34"/>
      <x:c r="R44" s="34"/>
      <x:c r="S44" s="34"/>
      <x:c r="T44" s="35" t="str">
        <x:f>IF(A44="","",IF(Q44=0,0,R44/Q44))</x:f>
      </x:c>
      <x:c r="U44" s="35" t="str">
        <x:f>IF(A44="","",IF(Q44=0,0,S44/Q44))</x:f>
      </x:c>
      <x:c r="V44" s="36" t="str">
        <x:f>IF(A44="","",IF(AND(D44="Pass",E44="Pass",F44="Pass",G44="Pass",T44&gt;=1,U44&gt;=1.2),"Pass","Hold"))</x:f>
      </x:c>
      <x:c r="W44" s="36" t="str">
        <x:f>IF(A44="","",IF(V44&lt;&gt;"Pass","HOLD",IF(P44&gt;=75,"APPROVE CANDIDATE",IF(P44&gt;=60,"CONDITIONAL","RENEGOTIATE/REJECT"))))</x:f>
      </x:c>
      <x:c r="X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3" t="str">
        <x:f>IF(A45="","",H45*15/5+I45*15/5+J45*15/5+K45*15/5+L45*10/5+M45*10/5+N45*10/5+O45*10/5)</x:f>
      </x:c>
      <x:c r="Q45" s="34"/>
      <x:c r="R45" s="34"/>
      <x:c r="S45" s="34"/>
      <x:c r="T45" s="35" t="str">
        <x:f>IF(A45="","",IF(Q45=0,0,R45/Q45))</x:f>
      </x:c>
      <x:c r="U45" s="35" t="str">
        <x:f>IF(A45="","",IF(Q45=0,0,S45/Q45))</x:f>
      </x:c>
      <x:c r="V45" s="36" t="str">
        <x:f>IF(A45="","",IF(AND(D45="Pass",E45="Pass",F45="Pass",G45="Pass",T45&gt;=1,U45&gt;=1.2),"Pass","Hold"))</x:f>
      </x:c>
      <x:c r="W45" s="36" t="str">
        <x:f>IF(A45="","",IF(V45&lt;&gt;"Pass","HOLD",IF(P45&gt;=75,"APPROVE CANDIDATE",IF(P45&gt;=60,"CONDITIONAL","RENEGOTIATE/REJECT"))))</x:f>
      </x:c>
      <x:c r="X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3" t="str">
        <x:f>IF(A46="","",H46*15/5+I46*15/5+J46*15/5+K46*15/5+L46*10/5+M46*10/5+N46*10/5+O46*10/5)</x:f>
      </x:c>
      <x:c r="Q46" s="34"/>
      <x:c r="R46" s="34"/>
      <x:c r="S46" s="34"/>
      <x:c r="T46" s="35" t="str">
        <x:f>IF(A46="","",IF(Q46=0,0,R46/Q46))</x:f>
      </x:c>
      <x:c r="U46" s="35" t="str">
        <x:f>IF(A46="","",IF(Q46=0,0,S46/Q46))</x:f>
      </x:c>
      <x:c r="V46" s="36" t="str">
        <x:f>IF(A46="","",IF(AND(D46="Pass",E46="Pass",F46="Pass",G46="Pass",T46&gt;=1,U46&gt;=1.2),"Pass","Hold"))</x:f>
      </x:c>
      <x:c r="W46" s="36" t="str">
        <x:f>IF(A46="","",IF(V46&lt;&gt;"Pass","HOLD",IF(P46&gt;=75,"APPROVE CANDIDATE",IF(P46&gt;=60,"CONDITIONAL","RENEGOTIATE/REJECT"))))</x:f>
      </x:c>
      <x:c r="X46" s="32"/>
    </x:row>
  </x:sheetData>
  <x:mergeCells>
    <x:mergeCell ref="A1:X1"/>
    <x:mergeCell ref="A2:X2"/>
    <x:mergeCell ref="A4:X4"/>
  </x:mergeCells>
  <x:dataValidations count="2">
    <x:dataValidation type="list" sqref="D7:G46">
      <x:formula1>"Pass,Hold,Fail,Unverified"</x:formula1>
    </x:dataValidation>
    <x:dataValidation type="whole" operator="between" sqref="H7:O46">
      <x:formula1>0</x:formula1>
      <x:formula2>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0" customHeight="1">
      <x:c r="A1" s="14" t="str">
        <x:v>Term Economics</x:v>
      </x:c>
    </x:row>
    <x:row r="2" ht="32" customHeight="1">
      <x:c r="A2" s="17" t="str">
        <x:v>Use VAT-exclusive inputs. Unreceived claims do not enter collected support. One row can represent a SKU, order or portfolio scenario.</x:v>
      </x:c>
    </x:row>
    <x:row r="6" ht="32" customHeight="1">
      <x:c r="A6" s="22" t="str">
        <x:v>Supplier</x:v>
      </x:c>
      <x:c r="B6" s="22" t="str">
        <x:v>SKU/portfolio</x:v>
      </x:c>
      <x:c r="C6" s="22" t="str">
        <x:v>Structure</x:v>
      </x:c>
      <x:c r="D6" s="22" t="str">
        <x:v>Inventory cost</x:v>
      </x:c>
      <x:c r="E6" s="22" t="str">
        <x:v>Net sales revenue</x:v>
      </x:c>
      <x:c r="F6" s="22" t="str">
        <x:v>Inventory days</x:v>
      </x:c>
      <x:c r="G6" s="22" t="str">
        <x:v>Customer collection days</x:v>
      </x:c>
      <x:c r="H6" s="22" t="str">
        <x:v>Supplier payment days</x:v>
      </x:c>
      <x:c r="I6" s="22" t="str">
        <x:v>Supplier amount due</x:v>
      </x:c>
      <x:c r="J6" s="22" t="str">
        <x:v>Sold cost by due</x:v>
      </x:c>
      <x:c r="K6" s="22" t="str">
        <x:v>Cash available by due</x:v>
      </x:c>
      <x:c r="L6" s="22" t="str">
        <x:v>Explicit fee</x:v>
      </x:c>
      <x:c r="M6" s="22" t="str">
        <x:v>Forgone discount</x:v>
      </x:c>
      <x:c r="N6" s="22" t="str">
        <x:v>Allocated BG cost</x:v>
      </x:c>
      <x:c r="O6" s="22" t="str">
        <x:v>Bank interest</x:v>
      </x:c>
      <x:c r="P6" s="22" t="str">
        <x:v>Insurance/audit</x:v>
      </x:c>
      <x:c r="Q6" s="22" t="str">
        <x:v>Direct fulfilment</x:v>
      </x:c>
      <x:c r="R6" s="22" t="str">
        <x:v>Unrecovered risk</x:v>
      </x:c>
      <x:c r="S6" s="22" t="str">
        <x:v>Collected support</x:v>
      </x:c>
      <x:c r="T6" s="22" t="str">
        <x:v>Cash-conversion days</x:v>
      </x:c>
      <x:c r="U6" s="22" t="str">
        <x:v>Sell-through cover</x:v>
      </x:c>
      <x:c r="V6" s="22" t="str">
        <x:v>Cash due cover</x:v>
      </x:c>
      <x:c r="W6" s="22" t="str">
        <x:v>Realised contribution</x:v>
      </x:c>
    </x:row>
    <x:row r="7">
      <x:c r="A7" s="25"/>
      <x:c r="B7" s="25"/>
      <x:c r="C7" s="25"/>
      <x:c r="D7" s="30"/>
      <x:c r="E7" s="30"/>
      <x:c r="F7" s="25"/>
      <x:c r="G7" s="25"/>
      <x:c r="H7" s="25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7" t="str">
        <x:f>IF(A7="","",F7+G7-H7)</x:f>
      </x:c>
      <x:c r="U7" s="31" t="str">
        <x:f>IF(A7="","",IF(I7=0,0,J7/I7))</x:f>
      </x:c>
      <x:c r="V7" s="31" t="str">
        <x:f>IF(A7="","",IF(I7=0,0,K7/I7))</x:f>
      </x:c>
      <x:c r="W7" s="38" t="str">
        <x:f>IF(A7="","",E7-D7-L7-M7-N7-O7-P7-Q7-R7+S7)</x:f>
      </x:c>
    </x:row>
    <x:row r="8">
      <x:c r="A8" s="25"/>
      <x:c r="B8" s="25"/>
      <x:c r="C8" s="25"/>
      <x:c r="D8" s="30"/>
      <x:c r="E8" s="30"/>
      <x:c r="F8" s="25"/>
      <x:c r="G8" s="25"/>
      <x:c r="H8" s="25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7" t="str">
        <x:f>IF(A8="","",F8+G8-H8)</x:f>
      </x:c>
      <x:c r="U8" s="31" t="str">
        <x:f>IF(A8="","",IF(I8=0,0,J8/I8))</x:f>
      </x:c>
      <x:c r="V8" s="31" t="str">
        <x:f>IF(A8="","",IF(I8=0,0,K8/I8))</x:f>
      </x:c>
      <x:c r="W8" s="38" t="str">
        <x:f>IF(A8="","",E8-D8-L8-M8-N8-O8-P8-Q8-R8+S8)</x:f>
      </x:c>
    </x:row>
    <x:row r="9">
      <x:c r="A9" s="25"/>
      <x:c r="B9" s="25"/>
      <x:c r="C9" s="25"/>
      <x:c r="D9" s="30"/>
      <x:c r="E9" s="30"/>
      <x:c r="F9" s="25"/>
      <x:c r="G9" s="25"/>
      <x:c r="H9" s="25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7" t="str">
        <x:f>IF(A9="","",F9+G9-H9)</x:f>
      </x:c>
      <x:c r="U9" s="31" t="str">
        <x:f>IF(A9="","",IF(I9=0,0,J9/I9))</x:f>
      </x:c>
      <x:c r="V9" s="31" t="str">
        <x:f>IF(A9="","",IF(I9=0,0,K9/I9))</x:f>
      </x:c>
      <x:c r="W9" s="38" t="str">
        <x:f>IF(A9="","",E9-D9-L9-M9-N9-O9-P9-Q9-R9+S9)</x:f>
      </x:c>
    </x:row>
    <x:row r="10">
      <x:c r="A10" s="25"/>
      <x:c r="B10" s="25"/>
      <x:c r="C10" s="25"/>
      <x:c r="D10" s="30"/>
      <x:c r="E10" s="30"/>
      <x:c r="F10" s="25"/>
      <x:c r="G10" s="25"/>
      <x:c r="H10" s="25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7" t="str">
        <x:f>IF(A10="","",F10+G10-H10)</x:f>
      </x:c>
      <x:c r="U10" s="31" t="str">
        <x:f>IF(A10="","",IF(I10=0,0,J10/I10))</x:f>
      </x:c>
      <x:c r="V10" s="31" t="str">
        <x:f>IF(A10="","",IF(I10=0,0,K10/I10))</x:f>
      </x:c>
      <x:c r="W10" s="38" t="str">
        <x:f>IF(A10="","",E10-D10-L10-M10-N10-O10-P10-Q10-R10+S10)</x:f>
      </x:c>
    </x:row>
    <x:row r="11">
      <x:c r="A11" s="25"/>
      <x:c r="B11" s="25"/>
      <x:c r="C11" s="25"/>
      <x:c r="D11" s="30"/>
      <x:c r="E11" s="30"/>
      <x:c r="F11" s="25"/>
      <x:c r="G11" s="25"/>
      <x:c r="H11" s="25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7" t="str">
        <x:f>IF(A11="","",F11+G11-H11)</x:f>
      </x:c>
      <x:c r="U11" s="31" t="str">
        <x:f>IF(A11="","",IF(I11=0,0,J11/I11))</x:f>
      </x:c>
      <x:c r="V11" s="31" t="str">
        <x:f>IF(A11="","",IF(I11=0,0,K11/I11))</x:f>
      </x:c>
      <x:c r="W11" s="38" t="str">
        <x:f>IF(A11="","",E11-D11-L11-M11-N11-O11-P11-Q11-R11+S11)</x:f>
      </x:c>
    </x:row>
    <x:row r="12">
      <x:c r="A12" s="25"/>
      <x:c r="B12" s="25"/>
      <x:c r="C12" s="25"/>
      <x:c r="D12" s="30"/>
      <x:c r="E12" s="30"/>
      <x:c r="F12" s="25"/>
      <x:c r="G12" s="25"/>
      <x:c r="H12" s="25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7" t="str">
        <x:f>IF(A12="","",F12+G12-H12)</x:f>
      </x:c>
      <x:c r="U12" s="31" t="str">
        <x:f>IF(A12="","",IF(I12=0,0,J12/I12))</x:f>
      </x:c>
      <x:c r="V12" s="31" t="str">
        <x:f>IF(A12="","",IF(I12=0,0,K12/I12))</x:f>
      </x:c>
      <x:c r="W12" s="38" t="str">
        <x:f>IF(A12="","",E12-D12-L12-M12-N12-O12-P12-Q12-R12+S12)</x:f>
      </x:c>
    </x:row>
    <x:row r="13">
      <x:c r="A13" s="25"/>
      <x:c r="B13" s="25"/>
      <x:c r="C13" s="25"/>
      <x:c r="D13" s="30"/>
      <x:c r="E13" s="30"/>
      <x:c r="F13" s="25"/>
      <x:c r="G13" s="25"/>
      <x:c r="H13" s="25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7" t="str">
        <x:f>IF(A13="","",F13+G13-H13)</x:f>
      </x:c>
      <x:c r="U13" s="31" t="str">
        <x:f>IF(A13="","",IF(I13=0,0,J13/I13))</x:f>
      </x:c>
      <x:c r="V13" s="31" t="str">
        <x:f>IF(A13="","",IF(I13=0,0,K13/I13))</x:f>
      </x:c>
      <x:c r="W13" s="38" t="str">
        <x:f>IF(A13="","",E13-D13-L13-M13-N13-O13-P13-Q13-R13+S13)</x:f>
      </x:c>
    </x:row>
    <x:row r="14">
      <x:c r="A14" s="25"/>
      <x:c r="B14" s="25"/>
      <x:c r="C14" s="25"/>
      <x:c r="D14" s="30"/>
      <x:c r="E14" s="30"/>
      <x:c r="F14" s="25"/>
      <x:c r="G14" s="25"/>
      <x:c r="H14" s="25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7" t="str">
        <x:f>IF(A14="","",F14+G14-H14)</x:f>
      </x:c>
      <x:c r="U14" s="31" t="str">
        <x:f>IF(A14="","",IF(I14=0,0,J14/I14))</x:f>
      </x:c>
      <x:c r="V14" s="31" t="str">
        <x:f>IF(A14="","",IF(I14=0,0,K14/I14))</x:f>
      </x:c>
      <x:c r="W14" s="38" t="str">
        <x:f>IF(A14="","",E14-D14-L14-M14-N14-O14-P14-Q14-R14+S14)</x:f>
      </x:c>
    </x:row>
    <x:row r="15">
      <x:c r="A15" s="25"/>
      <x:c r="B15" s="25"/>
      <x:c r="C15" s="25"/>
      <x:c r="D15" s="30"/>
      <x:c r="E15" s="30"/>
      <x:c r="F15" s="25"/>
      <x:c r="G15" s="25"/>
      <x:c r="H15" s="25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7" t="str">
        <x:f>IF(A15="","",F15+G15-H15)</x:f>
      </x:c>
      <x:c r="U15" s="31" t="str">
        <x:f>IF(A15="","",IF(I15=0,0,J15/I15))</x:f>
      </x:c>
      <x:c r="V15" s="31" t="str">
        <x:f>IF(A15="","",IF(I15=0,0,K15/I15))</x:f>
      </x:c>
      <x:c r="W15" s="38" t="str">
        <x:f>IF(A15="","",E15-D15-L15-M15-N15-O15-P15-Q15-R15+S15)</x:f>
      </x:c>
    </x:row>
    <x:row r="16">
      <x:c r="A16" s="25"/>
      <x:c r="B16" s="25"/>
      <x:c r="C16" s="25"/>
      <x:c r="D16" s="30"/>
      <x:c r="E16" s="30"/>
      <x:c r="F16" s="25"/>
      <x:c r="G16" s="25"/>
      <x:c r="H16" s="25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7" t="str">
        <x:f>IF(A16="","",F16+G16-H16)</x:f>
      </x:c>
      <x:c r="U16" s="31" t="str">
        <x:f>IF(A16="","",IF(I16=0,0,J16/I16))</x:f>
      </x:c>
      <x:c r="V16" s="31" t="str">
        <x:f>IF(A16="","",IF(I16=0,0,K16/I16))</x:f>
      </x:c>
      <x:c r="W16" s="38" t="str">
        <x:f>IF(A16="","",E16-D16-L16-M16-N16-O16-P16-Q16-R16+S16)</x:f>
      </x:c>
    </x:row>
    <x:row r="17">
      <x:c r="A17" s="25"/>
      <x:c r="B17" s="25"/>
      <x:c r="C17" s="25"/>
      <x:c r="D17" s="30"/>
      <x:c r="E17" s="30"/>
      <x:c r="F17" s="25"/>
      <x:c r="G17" s="25"/>
      <x:c r="H17" s="25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7" t="str">
        <x:f>IF(A17="","",F17+G17-H17)</x:f>
      </x:c>
      <x:c r="U17" s="31" t="str">
        <x:f>IF(A17="","",IF(I17=0,0,J17/I17))</x:f>
      </x:c>
      <x:c r="V17" s="31" t="str">
        <x:f>IF(A17="","",IF(I17=0,0,K17/I17))</x:f>
      </x:c>
      <x:c r="W17" s="38" t="str">
        <x:f>IF(A17="","",E17-D17-L17-M17-N17-O17-P17-Q17-R17+S17)</x:f>
      </x:c>
    </x:row>
    <x:row r="18">
      <x:c r="A18" s="25"/>
      <x:c r="B18" s="25"/>
      <x:c r="C18" s="25"/>
      <x:c r="D18" s="30"/>
      <x:c r="E18" s="30"/>
      <x:c r="F18" s="25"/>
      <x:c r="G18" s="25"/>
      <x:c r="H18" s="25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7" t="str">
        <x:f>IF(A18="","",F18+G18-H18)</x:f>
      </x:c>
      <x:c r="U18" s="31" t="str">
        <x:f>IF(A18="","",IF(I18=0,0,J18/I18))</x:f>
      </x:c>
      <x:c r="V18" s="31" t="str">
        <x:f>IF(A18="","",IF(I18=0,0,K18/I18))</x:f>
      </x:c>
      <x:c r="W18" s="38" t="str">
        <x:f>IF(A18="","",E18-D18-L18-M18-N18-O18-P18-Q18-R18+S18)</x:f>
      </x:c>
    </x:row>
    <x:row r="19">
      <x:c r="A19" s="25"/>
      <x:c r="B19" s="25"/>
      <x:c r="C19" s="25"/>
      <x:c r="D19" s="30"/>
      <x:c r="E19" s="30"/>
      <x:c r="F19" s="25"/>
      <x:c r="G19" s="25"/>
      <x:c r="H19" s="25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7" t="str">
        <x:f>IF(A19="","",F19+G19-H19)</x:f>
      </x:c>
      <x:c r="U19" s="31" t="str">
        <x:f>IF(A19="","",IF(I19=0,0,J19/I19))</x:f>
      </x:c>
      <x:c r="V19" s="31" t="str">
        <x:f>IF(A19="","",IF(I19=0,0,K19/I19))</x:f>
      </x:c>
      <x:c r="W19" s="38" t="str">
        <x:f>IF(A19="","",E19-D19-L19-M19-N19-O19-P19-Q19-R19+S19)</x:f>
      </x:c>
    </x:row>
    <x:row r="20">
      <x:c r="A20" s="25"/>
      <x:c r="B20" s="25"/>
      <x:c r="C20" s="25"/>
      <x:c r="D20" s="30"/>
      <x:c r="E20" s="30"/>
      <x:c r="F20" s="25"/>
      <x:c r="G20" s="25"/>
      <x:c r="H20" s="25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7" t="str">
        <x:f>IF(A20="","",F20+G20-H20)</x:f>
      </x:c>
      <x:c r="U20" s="31" t="str">
        <x:f>IF(A20="","",IF(I20=0,0,J20/I20))</x:f>
      </x:c>
      <x:c r="V20" s="31" t="str">
        <x:f>IF(A20="","",IF(I20=0,0,K20/I20))</x:f>
      </x:c>
      <x:c r="W20" s="38" t="str">
        <x:f>IF(A20="","",E20-D20-L20-M20-N20-O20-P20-Q20-R20+S20)</x:f>
      </x:c>
    </x:row>
    <x:row r="21">
      <x:c r="A21" s="25"/>
      <x:c r="B21" s="25"/>
      <x:c r="C21" s="25"/>
      <x:c r="D21" s="30"/>
      <x:c r="E21" s="30"/>
      <x:c r="F21" s="25"/>
      <x:c r="G21" s="25"/>
      <x:c r="H21" s="25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7" t="str">
        <x:f>IF(A21="","",F21+G21-H21)</x:f>
      </x:c>
      <x:c r="U21" s="31" t="str">
        <x:f>IF(A21="","",IF(I21=0,0,J21/I21))</x:f>
      </x:c>
      <x:c r="V21" s="31" t="str">
        <x:f>IF(A21="","",IF(I21=0,0,K21/I21))</x:f>
      </x:c>
      <x:c r="W21" s="38" t="str">
        <x:f>IF(A21="","",E21-D21-L21-M21-N21-O21-P21-Q21-R21+S21)</x:f>
      </x:c>
    </x:row>
    <x:row r="22">
      <x:c r="A22" s="25"/>
      <x:c r="B22" s="25"/>
      <x:c r="C22" s="25"/>
      <x:c r="D22" s="30"/>
      <x:c r="E22" s="30"/>
      <x:c r="F22" s="25"/>
      <x:c r="G22" s="25"/>
      <x:c r="H22" s="25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7" t="str">
        <x:f>IF(A22="","",F22+G22-H22)</x:f>
      </x:c>
      <x:c r="U22" s="31" t="str">
        <x:f>IF(A22="","",IF(I22=0,0,J22/I22))</x:f>
      </x:c>
      <x:c r="V22" s="31" t="str">
        <x:f>IF(A22="","",IF(I22=0,0,K22/I22))</x:f>
      </x:c>
      <x:c r="W22" s="38" t="str">
        <x:f>IF(A22="","",E22-D22-L22-M22-N22-O22-P22-Q22-R22+S22)</x:f>
      </x:c>
    </x:row>
    <x:row r="23">
      <x:c r="A23" s="25"/>
      <x:c r="B23" s="25"/>
      <x:c r="C23" s="25"/>
      <x:c r="D23" s="30"/>
      <x:c r="E23" s="30"/>
      <x:c r="F23" s="25"/>
      <x:c r="G23" s="25"/>
      <x:c r="H23" s="25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7" t="str">
        <x:f>IF(A23="","",F23+G23-H23)</x:f>
      </x:c>
      <x:c r="U23" s="31" t="str">
        <x:f>IF(A23="","",IF(I23=0,0,J23/I23))</x:f>
      </x:c>
      <x:c r="V23" s="31" t="str">
        <x:f>IF(A23="","",IF(I23=0,0,K23/I23))</x:f>
      </x:c>
      <x:c r="W23" s="38" t="str">
        <x:f>IF(A23="","",E23-D23-L23-M23-N23-O23-P23-Q23-R23+S23)</x:f>
      </x:c>
    </x:row>
    <x:row r="24">
      <x:c r="A24" s="25"/>
      <x:c r="B24" s="25"/>
      <x:c r="C24" s="25"/>
      <x:c r="D24" s="30"/>
      <x:c r="E24" s="30"/>
      <x:c r="F24" s="25"/>
      <x:c r="G24" s="25"/>
      <x:c r="H24" s="25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7" t="str">
        <x:f>IF(A24="","",F24+G24-H24)</x:f>
      </x:c>
      <x:c r="U24" s="31" t="str">
        <x:f>IF(A24="","",IF(I24=0,0,J24/I24))</x:f>
      </x:c>
      <x:c r="V24" s="31" t="str">
        <x:f>IF(A24="","",IF(I24=0,0,K24/I24))</x:f>
      </x:c>
      <x:c r="W24" s="38" t="str">
        <x:f>IF(A24="","",E24-D24-L24-M24-N24-O24-P24-Q24-R24+S24)</x:f>
      </x:c>
    </x:row>
    <x:row r="25">
      <x:c r="A25" s="25"/>
      <x:c r="B25" s="25"/>
      <x:c r="C25" s="25"/>
      <x:c r="D25" s="30"/>
      <x:c r="E25" s="30"/>
      <x:c r="F25" s="25"/>
      <x:c r="G25" s="25"/>
      <x:c r="H25" s="25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7" t="str">
        <x:f>IF(A25="","",F25+G25-H25)</x:f>
      </x:c>
      <x:c r="U25" s="31" t="str">
        <x:f>IF(A25="","",IF(I25=0,0,J25/I25))</x:f>
      </x:c>
      <x:c r="V25" s="31" t="str">
        <x:f>IF(A25="","",IF(I25=0,0,K25/I25))</x:f>
      </x:c>
      <x:c r="W25" s="38" t="str">
        <x:f>IF(A25="","",E25-D25-L25-M25-N25-O25-P25-Q25-R25+S25)</x:f>
      </x:c>
    </x:row>
    <x:row r="26">
      <x:c r="A26" s="25"/>
      <x:c r="B26" s="25"/>
      <x:c r="C26" s="25"/>
      <x:c r="D26" s="30"/>
      <x:c r="E26" s="30"/>
      <x:c r="F26" s="25"/>
      <x:c r="G26" s="25"/>
      <x:c r="H26" s="25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7" t="str">
        <x:f>IF(A26="","",F26+G26-H26)</x:f>
      </x:c>
      <x:c r="U26" s="31" t="str">
        <x:f>IF(A26="","",IF(I26=0,0,J26/I26))</x:f>
      </x:c>
      <x:c r="V26" s="31" t="str">
        <x:f>IF(A26="","",IF(I26=0,0,K26/I26))</x:f>
      </x:c>
      <x:c r="W26" s="38" t="str">
        <x:f>IF(A26="","",E26-D26-L26-M26-N26-O26-P26-Q26-R26+S26)</x:f>
      </x:c>
    </x:row>
    <x:row r="27">
      <x:c r="A27" s="25"/>
      <x:c r="B27" s="25"/>
      <x:c r="C27" s="25"/>
      <x:c r="D27" s="30"/>
      <x:c r="E27" s="30"/>
      <x:c r="F27" s="25"/>
      <x:c r="G27" s="25"/>
      <x:c r="H27" s="25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7" t="str">
        <x:f>IF(A27="","",F27+G27-H27)</x:f>
      </x:c>
      <x:c r="U27" s="31" t="str">
        <x:f>IF(A27="","",IF(I27=0,0,J27/I27))</x:f>
      </x:c>
      <x:c r="V27" s="31" t="str">
        <x:f>IF(A27="","",IF(I27=0,0,K27/I27))</x:f>
      </x:c>
      <x:c r="W27" s="38" t="str">
        <x:f>IF(A27="","",E27-D27-L27-M27-N27-O27-P27-Q27-R27+S27)</x:f>
      </x:c>
    </x:row>
    <x:row r="28">
      <x:c r="A28" s="25"/>
      <x:c r="B28" s="25"/>
      <x:c r="C28" s="25"/>
      <x:c r="D28" s="30"/>
      <x:c r="E28" s="30"/>
      <x:c r="F28" s="25"/>
      <x:c r="G28" s="25"/>
      <x:c r="H28" s="25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7" t="str">
        <x:f>IF(A28="","",F28+G28-H28)</x:f>
      </x:c>
      <x:c r="U28" s="31" t="str">
        <x:f>IF(A28="","",IF(I28=0,0,J28/I28))</x:f>
      </x:c>
      <x:c r="V28" s="31" t="str">
        <x:f>IF(A28="","",IF(I28=0,0,K28/I28))</x:f>
      </x:c>
      <x:c r="W28" s="38" t="str">
        <x:f>IF(A28="","",E28-D28-L28-M28-N28-O28-P28-Q28-R28+S28)</x:f>
      </x:c>
    </x:row>
    <x:row r="29">
      <x:c r="A29" s="25"/>
      <x:c r="B29" s="25"/>
      <x:c r="C29" s="25"/>
      <x:c r="D29" s="30"/>
      <x:c r="E29" s="30"/>
      <x:c r="F29" s="25"/>
      <x:c r="G29" s="25"/>
      <x:c r="H29" s="25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7" t="str">
        <x:f>IF(A29="","",F29+G29-H29)</x:f>
      </x:c>
      <x:c r="U29" s="31" t="str">
        <x:f>IF(A29="","",IF(I29=0,0,J29/I29))</x:f>
      </x:c>
      <x:c r="V29" s="31" t="str">
        <x:f>IF(A29="","",IF(I29=0,0,K29/I29))</x:f>
      </x:c>
      <x:c r="W29" s="38" t="str">
        <x:f>IF(A29="","",E29-D29-L29-M29-N29-O29-P29-Q29-R29+S29)</x:f>
      </x:c>
    </x:row>
    <x:row r="30">
      <x:c r="A30" s="25"/>
      <x:c r="B30" s="25"/>
      <x:c r="C30" s="25"/>
      <x:c r="D30" s="30"/>
      <x:c r="E30" s="30"/>
      <x:c r="F30" s="25"/>
      <x:c r="G30" s="25"/>
      <x:c r="H30" s="25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7" t="str">
        <x:f>IF(A30="","",F30+G30-H30)</x:f>
      </x:c>
      <x:c r="U30" s="31" t="str">
        <x:f>IF(A30="","",IF(I30=0,0,J30/I30))</x:f>
      </x:c>
      <x:c r="V30" s="31" t="str">
        <x:f>IF(A30="","",IF(I30=0,0,K30/I30))</x:f>
      </x:c>
      <x:c r="W30" s="38" t="str">
        <x:f>IF(A30="","",E30-D30-L30-M30-N30-O30-P30-Q30-R30+S30)</x:f>
      </x:c>
    </x:row>
    <x:row r="31">
      <x:c r="A31" s="25"/>
      <x:c r="B31" s="25"/>
      <x:c r="C31" s="25"/>
      <x:c r="D31" s="30"/>
      <x:c r="E31" s="30"/>
      <x:c r="F31" s="25"/>
      <x:c r="G31" s="25"/>
      <x:c r="H31" s="25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7" t="str">
        <x:f>IF(A31="","",F31+G31-H31)</x:f>
      </x:c>
      <x:c r="U31" s="31" t="str">
        <x:f>IF(A31="","",IF(I31=0,0,J31/I31))</x:f>
      </x:c>
      <x:c r="V31" s="31" t="str">
        <x:f>IF(A31="","",IF(I31=0,0,K31/I31))</x:f>
      </x:c>
      <x:c r="W31" s="38" t="str">
        <x:f>IF(A31="","",E31-D31-L31-M31-N31-O31-P31-Q31-R31+S31)</x:f>
      </x:c>
    </x:row>
    <x:row r="32">
      <x:c r="A32" s="25"/>
      <x:c r="B32" s="25"/>
      <x:c r="C32" s="25"/>
      <x:c r="D32" s="30"/>
      <x:c r="E32" s="30"/>
      <x:c r="F32" s="25"/>
      <x:c r="G32" s="25"/>
      <x:c r="H32" s="25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7" t="str">
        <x:f>IF(A32="","",F32+G32-H32)</x:f>
      </x:c>
      <x:c r="U32" s="31" t="str">
        <x:f>IF(A32="","",IF(I32=0,0,J32/I32))</x:f>
      </x:c>
      <x:c r="V32" s="31" t="str">
        <x:f>IF(A32="","",IF(I32=0,0,K32/I32))</x:f>
      </x:c>
      <x:c r="W32" s="38" t="str">
        <x:f>IF(A32="","",E32-D32-L32-M32-N32-O32-P32-Q32-R32+S32)</x:f>
      </x:c>
    </x:row>
    <x:row r="33">
      <x:c r="A33" s="25"/>
      <x:c r="B33" s="25"/>
      <x:c r="C33" s="25"/>
      <x:c r="D33" s="30"/>
      <x:c r="E33" s="30"/>
      <x:c r="F33" s="25"/>
      <x:c r="G33" s="25"/>
      <x:c r="H33" s="25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7" t="str">
        <x:f>IF(A33="","",F33+G33-H33)</x:f>
      </x:c>
      <x:c r="U33" s="31" t="str">
        <x:f>IF(A33="","",IF(I33=0,0,J33/I33))</x:f>
      </x:c>
      <x:c r="V33" s="31" t="str">
        <x:f>IF(A33="","",IF(I33=0,0,K33/I33))</x:f>
      </x:c>
      <x:c r="W33" s="38" t="str">
        <x:f>IF(A33="","",E33-D33-L33-M33-N33-O33-P33-Q33-R33+S33)</x:f>
      </x:c>
    </x:row>
    <x:row r="34">
      <x:c r="A34" s="25"/>
      <x:c r="B34" s="25"/>
      <x:c r="C34" s="25"/>
      <x:c r="D34" s="30"/>
      <x:c r="E34" s="30"/>
      <x:c r="F34" s="25"/>
      <x:c r="G34" s="25"/>
      <x:c r="H34" s="25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7" t="str">
        <x:f>IF(A34="","",F34+G34-H34)</x:f>
      </x:c>
      <x:c r="U34" s="31" t="str">
        <x:f>IF(A34="","",IF(I34=0,0,J34/I34))</x:f>
      </x:c>
      <x:c r="V34" s="31" t="str">
        <x:f>IF(A34="","",IF(I34=0,0,K34/I34))</x:f>
      </x:c>
      <x:c r="W34" s="38" t="str">
        <x:f>IF(A34="","",E34-D34-L34-M34-N34-O34-P34-Q34-R34+S34)</x:f>
      </x:c>
    </x:row>
    <x:row r="35">
      <x:c r="A35" s="25"/>
      <x:c r="B35" s="25"/>
      <x:c r="C35" s="25"/>
      <x:c r="D35" s="30"/>
      <x:c r="E35" s="30"/>
      <x:c r="F35" s="25"/>
      <x:c r="G35" s="25"/>
      <x:c r="H35" s="25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7" t="str">
        <x:f>IF(A35="","",F35+G35-H35)</x:f>
      </x:c>
      <x:c r="U35" s="31" t="str">
        <x:f>IF(A35="","",IF(I35=0,0,J35/I35))</x:f>
      </x:c>
      <x:c r="V35" s="31" t="str">
        <x:f>IF(A35="","",IF(I35=0,0,K35/I35))</x:f>
      </x:c>
      <x:c r="W35" s="38" t="str">
        <x:f>IF(A35="","",E35-D35-L35-M35-N35-O35-P35-Q35-R35+S35)</x:f>
      </x:c>
    </x:row>
    <x:row r="36">
      <x:c r="A36" s="25"/>
      <x:c r="B36" s="25"/>
      <x:c r="C36" s="25"/>
      <x:c r="D36" s="30"/>
      <x:c r="E36" s="30"/>
      <x:c r="F36" s="25"/>
      <x:c r="G36" s="25"/>
      <x:c r="H36" s="25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7" t="str">
        <x:f>IF(A36="","",F36+G36-H36)</x:f>
      </x:c>
      <x:c r="U36" s="31" t="str">
        <x:f>IF(A36="","",IF(I36=0,0,J36/I36))</x:f>
      </x:c>
      <x:c r="V36" s="31" t="str">
        <x:f>IF(A36="","",IF(I36=0,0,K36/I36))</x:f>
      </x:c>
      <x:c r="W36" s="38" t="str">
        <x:f>IF(A36="","",E36-D36-L36-M36-N36-O36-P36-Q36-R36+S36)</x:f>
      </x:c>
    </x:row>
    <x:row r="37">
      <x:c r="A37" s="25"/>
      <x:c r="B37" s="25"/>
      <x:c r="C37" s="25"/>
      <x:c r="D37" s="30"/>
      <x:c r="E37" s="30"/>
      <x:c r="F37" s="25"/>
      <x:c r="G37" s="25"/>
      <x:c r="H37" s="25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7" t="str">
        <x:f>IF(A37="","",F37+G37-H37)</x:f>
      </x:c>
      <x:c r="U37" s="31" t="str">
        <x:f>IF(A37="","",IF(I37=0,0,J37/I37))</x:f>
      </x:c>
      <x:c r="V37" s="31" t="str">
        <x:f>IF(A37="","",IF(I37=0,0,K37/I37))</x:f>
      </x:c>
      <x:c r="W37" s="38" t="str">
        <x:f>IF(A37="","",E37-D37-L37-M37-N37-O37-P37-Q37-R37+S37)</x:f>
      </x:c>
    </x:row>
    <x:row r="38">
      <x:c r="A38" s="25"/>
      <x:c r="B38" s="25"/>
      <x:c r="C38" s="25"/>
      <x:c r="D38" s="30"/>
      <x:c r="E38" s="30"/>
      <x:c r="F38" s="25"/>
      <x:c r="G38" s="25"/>
      <x:c r="H38" s="25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7" t="str">
        <x:f>IF(A38="","",F38+G38-H38)</x:f>
      </x:c>
      <x:c r="U38" s="31" t="str">
        <x:f>IF(A38="","",IF(I38=0,0,J38/I38))</x:f>
      </x:c>
      <x:c r="V38" s="31" t="str">
        <x:f>IF(A38="","",IF(I38=0,0,K38/I38))</x:f>
      </x:c>
      <x:c r="W38" s="38" t="str">
        <x:f>IF(A38="","",E38-D38-L38-M38-N38-O38-P38-Q38-R38+S38)</x:f>
      </x:c>
    </x:row>
    <x:row r="39">
      <x:c r="A39" s="25"/>
      <x:c r="B39" s="25"/>
      <x:c r="C39" s="25"/>
      <x:c r="D39" s="30"/>
      <x:c r="E39" s="30"/>
      <x:c r="F39" s="25"/>
      <x:c r="G39" s="25"/>
      <x:c r="H39" s="25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7" t="str">
        <x:f>IF(A39="","",F39+G39-H39)</x:f>
      </x:c>
      <x:c r="U39" s="31" t="str">
        <x:f>IF(A39="","",IF(I39=0,0,J39/I39))</x:f>
      </x:c>
      <x:c r="V39" s="31" t="str">
        <x:f>IF(A39="","",IF(I39=0,0,K39/I39))</x:f>
      </x:c>
      <x:c r="W39" s="38" t="str">
        <x:f>IF(A39="","",E39-D39-L39-M39-N39-O39-P39-Q39-R39+S39)</x:f>
      </x:c>
    </x:row>
    <x:row r="40">
      <x:c r="A40" s="25"/>
      <x:c r="B40" s="25"/>
      <x:c r="C40" s="25"/>
      <x:c r="D40" s="30"/>
      <x:c r="E40" s="30"/>
      <x:c r="F40" s="25"/>
      <x:c r="G40" s="25"/>
      <x:c r="H40" s="25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7" t="str">
        <x:f>IF(A40="","",F40+G40-H40)</x:f>
      </x:c>
      <x:c r="U40" s="31" t="str">
        <x:f>IF(A40="","",IF(I40=0,0,J40/I40))</x:f>
      </x:c>
      <x:c r="V40" s="31" t="str">
        <x:f>IF(A40="","",IF(I40=0,0,K40/I40))</x:f>
      </x:c>
      <x:c r="W40" s="38" t="str">
        <x:f>IF(A40="","",E40-D40-L40-M40-N40-O40-P40-Q40-R40+S40)</x:f>
      </x:c>
    </x:row>
    <x:row r="41">
      <x:c r="A41" s="25"/>
      <x:c r="B41" s="25"/>
      <x:c r="C41" s="25"/>
      <x:c r="D41" s="30"/>
      <x:c r="E41" s="30"/>
      <x:c r="F41" s="25"/>
      <x:c r="G41" s="25"/>
      <x:c r="H41" s="25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7" t="str">
        <x:f>IF(A41="","",F41+G41-H41)</x:f>
      </x:c>
      <x:c r="U41" s="31" t="str">
        <x:f>IF(A41="","",IF(I41=0,0,J41/I41))</x:f>
      </x:c>
      <x:c r="V41" s="31" t="str">
        <x:f>IF(A41="","",IF(I41=0,0,K41/I41))</x:f>
      </x:c>
      <x:c r="W41" s="38" t="str">
        <x:f>IF(A41="","",E41-D41-L41-M41-N41-O41-P41-Q41-R41+S41)</x:f>
      </x:c>
    </x:row>
    <x:row r="42">
      <x:c r="A42" s="25"/>
      <x:c r="B42" s="25"/>
      <x:c r="C42" s="25"/>
      <x:c r="D42" s="30"/>
      <x:c r="E42" s="30"/>
      <x:c r="F42" s="25"/>
      <x:c r="G42" s="25"/>
      <x:c r="H42" s="25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7" t="str">
        <x:f>IF(A42="","",F42+G42-H42)</x:f>
      </x:c>
      <x:c r="U42" s="31" t="str">
        <x:f>IF(A42="","",IF(I42=0,0,J42/I42))</x:f>
      </x:c>
      <x:c r="V42" s="31" t="str">
        <x:f>IF(A42="","",IF(I42=0,0,K42/I42))</x:f>
      </x:c>
      <x:c r="W42" s="38" t="str">
        <x:f>IF(A42="","",E42-D42-L42-M42-N42-O42-P42-Q42-R42+S42)</x:f>
      </x:c>
    </x:row>
    <x:row r="43">
      <x:c r="A43" s="25"/>
      <x:c r="B43" s="25"/>
      <x:c r="C43" s="25"/>
      <x:c r="D43" s="30"/>
      <x:c r="E43" s="30"/>
      <x:c r="F43" s="25"/>
      <x:c r="G43" s="25"/>
      <x:c r="H43" s="25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7" t="str">
        <x:f>IF(A43="","",F43+G43-H43)</x:f>
      </x:c>
      <x:c r="U43" s="31" t="str">
        <x:f>IF(A43="","",IF(I43=0,0,J43/I43))</x:f>
      </x:c>
      <x:c r="V43" s="31" t="str">
        <x:f>IF(A43="","",IF(I43=0,0,K43/I43))</x:f>
      </x:c>
      <x:c r="W43" s="38" t="str">
        <x:f>IF(A43="","",E43-D43-L43-M43-N43-O43-P43-Q43-R43+S43)</x:f>
      </x:c>
    </x:row>
    <x:row r="44">
      <x:c r="A44" s="25"/>
      <x:c r="B44" s="25"/>
      <x:c r="C44" s="25"/>
      <x:c r="D44" s="30"/>
      <x:c r="E44" s="30"/>
      <x:c r="F44" s="25"/>
      <x:c r="G44" s="25"/>
      <x:c r="H44" s="25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7" t="str">
        <x:f>IF(A44="","",F44+G44-H44)</x:f>
      </x:c>
      <x:c r="U44" s="31" t="str">
        <x:f>IF(A44="","",IF(I44=0,0,J44/I44))</x:f>
      </x:c>
      <x:c r="V44" s="31" t="str">
        <x:f>IF(A44="","",IF(I44=0,0,K44/I44))</x:f>
      </x:c>
      <x:c r="W44" s="38" t="str">
        <x:f>IF(A44="","",E44-D44-L44-M44-N44-O44-P44-Q44-R44+S44)</x:f>
      </x:c>
    </x:row>
    <x:row r="45">
      <x:c r="A45" s="25"/>
      <x:c r="B45" s="25"/>
      <x:c r="C45" s="25"/>
      <x:c r="D45" s="30"/>
      <x:c r="E45" s="30"/>
      <x:c r="F45" s="25"/>
      <x:c r="G45" s="25"/>
      <x:c r="H45" s="25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7" t="str">
        <x:f>IF(A45="","",F45+G45-H45)</x:f>
      </x:c>
      <x:c r="U45" s="31" t="str">
        <x:f>IF(A45="","",IF(I45=0,0,J45/I45))</x:f>
      </x:c>
      <x:c r="V45" s="31" t="str">
        <x:f>IF(A45="","",IF(I45=0,0,K45/I45))</x:f>
      </x:c>
      <x:c r="W45" s="38" t="str">
        <x:f>IF(A45="","",E45-D45-L45-M45-N45-O45-P45-Q45-R45+S45)</x:f>
      </x:c>
    </x:row>
    <x:row r="46">
      <x:c r="A46" s="25"/>
      <x:c r="B46" s="25"/>
      <x:c r="C46" s="25"/>
      <x:c r="D46" s="30"/>
      <x:c r="E46" s="30"/>
      <x:c r="F46" s="25"/>
      <x:c r="G46" s="25"/>
      <x:c r="H46" s="25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7" t="str">
        <x:f>IF(A46="","",F46+G46-H46)</x:f>
      </x:c>
      <x:c r="U46" s="31" t="str">
        <x:f>IF(A46="","",IF(I46=0,0,J46/I46))</x:f>
      </x:c>
      <x:c r="V46" s="31" t="str">
        <x:f>IF(A46="","",IF(I46=0,0,K46/I46))</x:f>
      </x:c>
      <x:c r="W46" s="38" t="str">
        <x:f>IF(A46="","",E46-D46-L46-M46-N46-O46-P46-Q46-R46+S46)</x:f>
      </x:c>
    </x:row>
    <x:row r="47">
      <x:c r="A47" s="25"/>
      <x:c r="B47" s="25"/>
      <x:c r="C47" s="25"/>
      <x:c r="D47" s="30"/>
      <x:c r="E47" s="30"/>
      <x:c r="F47" s="25"/>
      <x:c r="G47" s="25"/>
      <x:c r="H47" s="25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7" t="str">
        <x:f>IF(A47="","",F47+G47-H47)</x:f>
      </x:c>
      <x:c r="U47" s="31" t="str">
        <x:f>IF(A47="","",IF(I47=0,0,J47/I47))</x:f>
      </x:c>
      <x:c r="V47" s="31" t="str">
        <x:f>IF(A47="","",IF(I47=0,0,K47/I47))</x:f>
      </x:c>
      <x:c r="W47" s="38" t="str">
        <x:f>IF(A47="","",E47-D47-L47-M47-N47-O47-P47-Q47-R47+S47)</x:f>
      </x:c>
    </x:row>
    <x:row r="48">
      <x:c r="A48" s="25"/>
      <x:c r="B48" s="25"/>
      <x:c r="C48" s="25"/>
      <x:c r="D48" s="30"/>
      <x:c r="E48" s="30"/>
      <x:c r="F48" s="25"/>
      <x:c r="G48" s="25"/>
      <x:c r="H48" s="25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7" t="str">
        <x:f>IF(A48="","",F48+G48-H48)</x:f>
      </x:c>
      <x:c r="U48" s="31" t="str">
        <x:f>IF(A48="","",IF(I48=0,0,J48/I48))</x:f>
      </x:c>
      <x:c r="V48" s="31" t="str">
        <x:f>IF(A48="","",IF(I48=0,0,K48/I48))</x:f>
      </x:c>
      <x:c r="W48" s="38" t="str">
        <x:f>IF(A48="","",E48-D48-L48-M48-N48-O48-P48-Q48-R48+S48)</x:f>
      </x:c>
    </x:row>
    <x:row r="49">
      <x:c r="A49" s="25"/>
      <x:c r="B49" s="25"/>
      <x:c r="C49" s="25"/>
      <x:c r="D49" s="30"/>
      <x:c r="E49" s="30"/>
      <x:c r="F49" s="25"/>
      <x:c r="G49" s="25"/>
      <x:c r="H49" s="25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7" t="str">
        <x:f>IF(A49="","",F49+G49-H49)</x:f>
      </x:c>
      <x:c r="U49" s="31" t="str">
        <x:f>IF(A49="","",IF(I49=0,0,J49/I49))</x:f>
      </x:c>
      <x:c r="V49" s="31" t="str">
        <x:f>IF(A49="","",IF(I49=0,0,K49/I49))</x:f>
      </x:c>
      <x:c r="W49" s="38" t="str">
        <x:f>IF(A49="","",E49-D49-L49-M49-N49-O49-P49-Q49-R49+S49)</x:f>
      </x:c>
    </x:row>
    <x:row r="50">
      <x:c r="A50" s="25"/>
      <x:c r="B50" s="25"/>
      <x:c r="C50" s="25"/>
      <x:c r="D50" s="30"/>
      <x:c r="E50" s="30"/>
      <x:c r="F50" s="25"/>
      <x:c r="G50" s="25"/>
      <x:c r="H50" s="25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7" t="str">
        <x:f>IF(A50="","",F50+G50-H50)</x:f>
      </x:c>
      <x:c r="U50" s="31" t="str">
        <x:f>IF(A50="","",IF(I50=0,0,J50/I50))</x:f>
      </x:c>
      <x:c r="V50" s="31" t="str">
        <x:f>IF(A50="","",IF(I50=0,0,K50/I50))</x:f>
      </x:c>
      <x:c r="W50" s="38" t="str">
        <x:f>IF(A50="","",E50-D50-L50-M50-N50-O50-P50-Q50-R50+S50)</x:f>
      </x:c>
    </x:row>
    <x:row r="51">
      <x:c r="A51" s="25"/>
      <x:c r="B51" s="25"/>
      <x:c r="C51" s="25"/>
      <x:c r="D51" s="30"/>
      <x:c r="E51" s="30"/>
      <x:c r="F51" s="25"/>
      <x:c r="G51" s="25"/>
      <x:c r="H51" s="25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7" t="str">
        <x:f>IF(A51="","",F51+G51-H51)</x:f>
      </x:c>
      <x:c r="U51" s="31" t="str">
        <x:f>IF(A51="","",IF(I51=0,0,J51/I51))</x:f>
      </x:c>
      <x:c r="V51" s="31" t="str">
        <x:f>IF(A51="","",IF(I51=0,0,K51/I51))</x:f>
      </x:c>
      <x:c r="W51" s="38" t="str">
        <x:f>IF(A51="","",E51-D51-L51-M51-N51-O51-P51-Q51-R51+S51)</x:f>
      </x:c>
    </x:row>
    <x:row r="52">
      <x:c r="A52" s="25"/>
      <x:c r="B52" s="25"/>
      <x:c r="C52" s="25"/>
      <x:c r="D52" s="30"/>
      <x:c r="E52" s="30"/>
      <x:c r="F52" s="25"/>
      <x:c r="G52" s="25"/>
      <x:c r="H52" s="25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7" t="str">
        <x:f>IF(A52="","",F52+G52-H52)</x:f>
      </x:c>
      <x:c r="U52" s="31" t="str">
        <x:f>IF(A52="","",IF(I52=0,0,J52/I52))</x:f>
      </x:c>
      <x:c r="V52" s="31" t="str">
        <x:f>IF(A52="","",IF(I52=0,0,K52/I52))</x:f>
      </x:c>
      <x:c r="W52" s="38" t="str">
        <x:f>IF(A52="","",E52-D52-L52-M52-N52-O52-P52-Q52-R52+S52)</x:f>
      </x:c>
    </x:row>
    <x:row r="53">
      <x:c r="A53" s="25"/>
      <x:c r="B53" s="25"/>
      <x:c r="C53" s="25"/>
      <x:c r="D53" s="30"/>
      <x:c r="E53" s="30"/>
      <x:c r="F53" s="25"/>
      <x:c r="G53" s="25"/>
      <x:c r="H53" s="25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7" t="str">
        <x:f>IF(A53="","",F53+G53-H53)</x:f>
      </x:c>
      <x:c r="U53" s="31" t="str">
        <x:f>IF(A53="","",IF(I53=0,0,J53/I53))</x:f>
      </x:c>
      <x:c r="V53" s="31" t="str">
        <x:f>IF(A53="","",IF(I53=0,0,K53/I53))</x:f>
      </x:c>
      <x:c r="W53" s="38" t="str">
        <x:f>IF(A53="","",E53-D53-L53-M53-N53-O53-P53-Q53-R53+S53)</x:f>
      </x:c>
    </x:row>
    <x:row r="54">
      <x:c r="A54" s="25"/>
      <x:c r="B54" s="25"/>
      <x:c r="C54" s="25"/>
      <x:c r="D54" s="30"/>
      <x:c r="E54" s="30"/>
      <x:c r="F54" s="25"/>
      <x:c r="G54" s="25"/>
      <x:c r="H54" s="25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7" t="str">
        <x:f>IF(A54="","",F54+G54-H54)</x:f>
      </x:c>
      <x:c r="U54" s="31" t="str">
        <x:f>IF(A54="","",IF(I54=0,0,J54/I54))</x:f>
      </x:c>
      <x:c r="V54" s="31" t="str">
        <x:f>IF(A54="","",IF(I54=0,0,K54/I54))</x:f>
      </x:c>
      <x:c r="W54" s="38" t="str">
        <x:f>IF(A54="","",E54-D54-L54-M54-N54-O54-P54-Q54-R54+S54)</x:f>
      </x:c>
    </x:row>
    <x:row r="55">
      <x:c r="A55" s="25"/>
      <x:c r="B55" s="25"/>
      <x:c r="C55" s="25"/>
      <x:c r="D55" s="30"/>
      <x:c r="E55" s="30"/>
      <x:c r="F55" s="25"/>
      <x:c r="G55" s="25"/>
      <x:c r="H55" s="25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7" t="str">
        <x:f>IF(A55="","",F55+G55-H55)</x:f>
      </x:c>
      <x:c r="U55" s="31" t="str">
        <x:f>IF(A55="","",IF(I55=0,0,J55/I55))</x:f>
      </x:c>
      <x:c r="V55" s="31" t="str">
        <x:f>IF(A55="","",IF(I55=0,0,K55/I55))</x:f>
      </x:c>
      <x:c r="W55" s="38" t="str">
        <x:f>IF(A55="","",E55-D55-L55-M55-N55-O55-P55-Q55-R55+S55)</x:f>
      </x:c>
    </x:row>
    <x:row r="56">
      <x:c r="A56" s="25"/>
      <x:c r="B56" s="25"/>
      <x:c r="C56" s="25"/>
      <x:c r="D56" s="30"/>
      <x:c r="E56" s="30"/>
      <x:c r="F56" s="25"/>
      <x:c r="G56" s="25"/>
      <x:c r="H56" s="25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7" t="str">
        <x:f>IF(A56="","",F56+G56-H56)</x:f>
      </x:c>
      <x:c r="U56" s="31" t="str">
        <x:f>IF(A56="","",IF(I56=0,0,J56/I56))</x:f>
      </x:c>
      <x:c r="V56" s="31" t="str">
        <x:f>IF(A56="","",IF(I56=0,0,K56/I56))</x:f>
      </x:c>
      <x:c r="W56" s="38" t="str">
        <x:f>IF(A56="","",E56-D56-L56-M56-N56-O56-P56-Q56-R56+S56)</x:f>
      </x:c>
    </x:row>
    <x:row r="57">
      <x:c r="A57" s="25"/>
      <x:c r="B57" s="25"/>
      <x:c r="C57" s="25"/>
      <x:c r="D57" s="30"/>
      <x:c r="E57" s="30"/>
      <x:c r="F57" s="25"/>
      <x:c r="G57" s="25"/>
      <x:c r="H57" s="25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7" t="str">
        <x:f>IF(A57="","",F57+G57-H57)</x:f>
      </x:c>
      <x:c r="U57" s="31" t="str">
        <x:f>IF(A57="","",IF(I57=0,0,J57/I57))</x:f>
      </x:c>
      <x:c r="V57" s="31" t="str">
        <x:f>IF(A57="","",IF(I57=0,0,K57/I57))</x:f>
      </x:c>
      <x:c r="W57" s="38" t="str">
        <x:f>IF(A57="","",E57-D57-L57-M57-N57-O57-P57-Q57-R57+S57)</x:f>
      </x:c>
    </x:row>
    <x:row r="58">
      <x:c r="A58" s="25"/>
      <x:c r="B58" s="25"/>
      <x:c r="C58" s="25"/>
      <x:c r="D58" s="30"/>
      <x:c r="E58" s="30"/>
      <x:c r="F58" s="25"/>
      <x:c r="G58" s="25"/>
      <x:c r="H58" s="25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7" t="str">
        <x:f>IF(A58="","",F58+G58-H58)</x:f>
      </x:c>
      <x:c r="U58" s="31" t="str">
        <x:f>IF(A58="","",IF(I58=0,0,J58/I58))</x:f>
      </x:c>
      <x:c r="V58" s="31" t="str">
        <x:f>IF(A58="","",IF(I58=0,0,K58/I58))</x:f>
      </x:c>
      <x:c r="W58" s="38" t="str">
        <x:f>IF(A58="","",E58-D58-L58-M58-N58-O58-P58-Q58-R58+S58)</x:f>
      </x:c>
    </x:row>
    <x:row r="59">
      <x:c r="A59" s="25"/>
      <x:c r="B59" s="25"/>
      <x:c r="C59" s="25"/>
      <x:c r="D59" s="30"/>
      <x:c r="E59" s="30"/>
      <x:c r="F59" s="25"/>
      <x:c r="G59" s="25"/>
      <x:c r="H59" s="25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7" t="str">
        <x:f>IF(A59="","",F59+G59-H59)</x:f>
      </x:c>
      <x:c r="U59" s="31" t="str">
        <x:f>IF(A59="","",IF(I59=0,0,J59/I59))</x:f>
      </x:c>
      <x:c r="V59" s="31" t="str">
        <x:f>IF(A59="","",IF(I59=0,0,K59/I59))</x:f>
      </x:c>
      <x:c r="W59" s="38" t="str">
        <x:f>IF(A59="","",E59-D59-L59-M59-N59-O59-P59-Q59-R59+S59)</x:f>
      </x:c>
    </x:row>
    <x:row r="60">
      <x:c r="A60" s="25"/>
      <x:c r="B60" s="25"/>
      <x:c r="C60" s="25"/>
      <x:c r="D60" s="30"/>
      <x:c r="E60" s="30"/>
      <x:c r="F60" s="25"/>
      <x:c r="G60" s="25"/>
      <x:c r="H60" s="25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7" t="str">
        <x:f>IF(A60="","",F60+G60-H60)</x:f>
      </x:c>
      <x:c r="U60" s="31" t="str">
        <x:f>IF(A60="","",IF(I60=0,0,J60/I60))</x:f>
      </x:c>
      <x:c r="V60" s="31" t="str">
        <x:f>IF(A60="","",IF(I60=0,0,K60/I60))</x:f>
      </x:c>
      <x:c r="W60" s="38" t="str">
        <x:f>IF(A60="","",E60-D60-L60-M60-N60-O60-P60-Q60-R60+S60)</x:f>
      </x:c>
    </x:row>
    <x:row r="61">
      <x:c r="A61" s="25"/>
      <x:c r="B61" s="25"/>
      <x:c r="C61" s="25"/>
      <x:c r="D61" s="30"/>
      <x:c r="E61" s="30"/>
      <x:c r="F61" s="25"/>
      <x:c r="G61" s="25"/>
      <x:c r="H61" s="25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7" t="str">
        <x:f>IF(A61="","",F61+G61-H61)</x:f>
      </x:c>
      <x:c r="U61" s="31" t="str">
        <x:f>IF(A61="","",IF(I61=0,0,J61/I61))</x:f>
      </x:c>
      <x:c r="V61" s="31" t="str">
        <x:f>IF(A61="","",IF(I61=0,0,K61/I61))</x:f>
      </x:c>
      <x:c r="W61" s="38" t="str">
        <x:f>IF(A61="","",E61-D61-L61-M61-N61-O61-P61-Q61-R61+S61)</x:f>
      </x:c>
    </x:row>
    <x:row r="62">
      <x:c r="A62" s="25"/>
      <x:c r="B62" s="25"/>
      <x:c r="C62" s="25"/>
      <x:c r="D62" s="30"/>
      <x:c r="E62" s="30"/>
      <x:c r="F62" s="25"/>
      <x:c r="G62" s="25"/>
      <x:c r="H62" s="25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7" t="str">
        <x:f>IF(A62="","",F62+G62-H62)</x:f>
      </x:c>
      <x:c r="U62" s="31" t="str">
        <x:f>IF(A62="","",IF(I62=0,0,J62/I62))</x:f>
      </x:c>
      <x:c r="V62" s="31" t="str">
        <x:f>IF(A62="","",IF(I62=0,0,K62/I62))</x:f>
      </x:c>
      <x:c r="W62" s="38" t="str">
        <x:f>IF(A62="","",E62-D62-L62-M62-N62-O62-P62-Q62-R62+S62)</x:f>
      </x:c>
    </x:row>
    <x:row r="63">
      <x:c r="A63" s="25"/>
      <x:c r="B63" s="25"/>
      <x:c r="C63" s="25"/>
      <x:c r="D63" s="30"/>
      <x:c r="E63" s="30"/>
      <x:c r="F63" s="25"/>
      <x:c r="G63" s="25"/>
      <x:c r="H63" s="25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7" t="str">
        <x:f>IF(A63="","",F63+G63-H63)</x:f>
      </x:c>
      <x:c r="U63" s="31" t="str">
        <x:f>IF(A63="","",IF(I63=0,0,J63/I63))</x:f>
      </x:c>
      <x:c r="V63" s="31" t="str">
        <x:f>IF(A63="","",IF(I63=0,0,K63/I63))</x:f>
      </x:c>
      <x:c r="W63" s="38" t="str">
        <x:f>IF(A63="","",E63-D63-L63-M63-N63-O63-P63-Q63-R63+S63)</x:f>
      </x:c>
    </x:row>
    <x:row r="64">
      <x:c r="A64" s="25"/>
      <x:c r="B64" s="25"/>
      <x:c r="C64" s="25"/>
      <x:c r="D64" s="30"/>
      <x:c r="E64" s="30"/>
      <x:c r="F64" s="25"/>
      <x:c r="G64" s="25"/>
      <x:c r="H64" s="25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7" t="str">
        <x:f>IF(A64="","",F64+G64-H64)</x:f>
      </x:c>
      <x:c r="U64" s="31" t="str">
        <x:f>IF(A64="","",IF(I64=0,0,J64/I64))</x:f>
      </x:c>
      <x:c r="V64" s="31" t="str">
        <x:f>IF(A64="","",IF(I64=0,0,K64/I64))</x:f>
      </x:c>
      <x:c r="W64" s="38" t="str">
        <x:f>IF(A64="","",E64-D64-L64-M64-N64-O64-P64-Q64-R64+S64)</x:f>
      </x:c>
    </x:row>
    <x:row r="65">
      <x:c r="A65" s="25"/>
      <x:c r="B65" s="25"/>
      <x:c r="C65" s="25"/>
      <x:c r="D65" s="30"/>
      <x:c r="E65" s="30"/>
      <x:c r="F65" s="25"/>
      <x:c r="G65" s="25"/>
      <x:c r="H65" s="25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7" t="str">
        <x:f>IF(A65="","",F65+G65-H65)</x:f>
      </x:c>
      <x:c r="U65" s="31" t="str">
        <x:f>IF(A65="","",IF(I65=0,0,J65/I65))</x:f>
      </x:c>
      <x:c r="V65" s="31" t="str">
        <x:f>IF(A65="","",IF(I65=0,0,K65/I65))</x:f>
      </x:c>
      <x:c r="W65" s="38" t="str">
        <x:f>IF(A65="","",E65-D65-L65-M65-N65-O65-P65-Q65-R65+S65)</x:f>
      </x:c>
    </x:row>
    <x:row r="66">
      <x:c r="A66" s="25"/>
      <x:c r="B66" s="25"/>
      <x:c r="C66" s="25"/>
      <x:c r="D66" s="30"/>
      <x:c r="E66" s="30"/>
      <x:c r="F66" s="25"/>
      <x:c r="G66" s="25"/>
      <x:c r="H66" s="25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7" t="str">
        <x:f>IF(A66="","",F66+G66-H66)</x:f>
      </x:c>
      <x:c r="U66" s="31" t="str">
        <x:f>IF(A66="","",IF(I66=0,0,J66/I66))</x:f>
      </x:c>
      <x:c r="V66" s="31" t="str">
        <x:f>IF(A66="","",IF(I66=0,0,K66/I66))</x:f>
      </x:c>
      <x:c r="W66" s="38" t="str">
        <x:f>IF(A66="","",E66-D66-L66-M66-N66-O66-P66-Q66-R66+S66)</x:f>
      </x:c>
    </x:row>
    <x:row r="67">
      <x:c r="A67" s="25"/>
      <x:c r="B67" s="25"/>
      <x:c r="C67" s="25"/>
      <x:c r="D67" s="30"/>
      <x:c r="E67" s="30"/>
      <x:c r="F67" s="25"/>
      <x:c r="G67" s="25"/>
      <x:c r="H67" s="25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7" t="str">
        <x:f>IF(A67="","",F67+G67-H67)</x:f>
      </x:c>
      <x:c r="U67" s="31" t="str">
        <x:f>IF(A67="","",IF(I67=0,0,J67/I67))</x:f>
      </x:c>
      <x:c r="V67" s="31" t="str">
        <x:f>IF(A67="","",IF(I67=0,0,K67/I67))</x:f>
      </x:c>
      <x:c r="W67" s="38" t="str">
        <x:f>IF(A67="","",E67-D67-L67-M67-N67-O67-P67-Q67-R67+S67)</x:f>
      </x:c>
    </x:row>
    <x:row r="68">
      <x:c r="A68" s="25"/>
      <x:c r="B68" s="25"/>
      <x:c r="C68" s="25"/>
      <x:c r="D68" s="30"/>
      <x:c r="E68" s="30"/>
      <x:c r="F68" s="25"/>
      <x:c r="G68" s="25"/>
      <x:c r="H68" s="25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7" t="str">
        <x:f>IF(A68="","",F68+G68-H68)</x:f>
      </x:c>
      <x:c r="U68" s="31" t="str">
        <x:f>IF(A68="","",IF(I68=0,0,J68/I68))</x:f>
      </x:c>
      <x:c r="V68" s="31" t="str">
        <x:f>IF(A68="","",IF(I68=0,0,K68/I68))</x:f>
      </x:c>
      <x:c r="W68" s="38" t="str">
        <x:f>IF(A68="","",E68-D68-L68-M68-N68-O68-P68-Q68-R68+S68)</x:f>
      </x:c>
    </x:row>
    <x:row r="69">
      <x:c r="A69" s="25"/>
      <x:c r="B69" s="25"/>
      <x:c r="C69" s="25"/>
      <x:c r="D69" s="30"/>
      <x:c r="E69" s="30"/>
      <x:c r="F69" s="25"/>
      <x:c r="G69" s="25"/>
      <x:c r="H69" s="25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7" t="str">
        <x:f>IF(A69="","",F69+G69-H69)</x:f>
      </x:c>
      <x:c r="U69" s="31" t="str">
        <x:f>IF(A69="","",IF(I69=0,0,J69/I69))</x:f>
      </x:c>
      <x:c r="V69" s="31" t="str">
        <x:f>IF(A69="","",IF(I69=0,0,K69/I69))</x:f>
      </x:c>
      <x:c r="W69" s="38" t="str">
        <x:f>IF(A69="","",E69-D69-L69-M69-N69-O69-P69-Q69-R69+S69)</x:f>
      </x:c>
    </x:row>
    <x:row r="70">
      <x:c r="A70" s="25"/>
      <x:c r="B70" s="25"/>
      <x:c r="C70" s="25"/>
      <x:c r="D70" s="30"/>
      <x:c r="E70" s="30"/>
      <x:c r="F70" s="25"/>
      <x:c r="G70" s="25"/>
      <x:c r="H70" s="25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7" t="str">
        <x:f>IF(A70="","",F70+G70-H70)</x:f>
      </x:c>
      <x:c r="U70" s="31" t="str">
        <x:f>IF(A70="","",IF(I70=0,0,J70/I70))</x:f>
      </x:c>
      <x:c r="V70" s="31" t="str">
        <x:f>IF(A70="","",IF(I70=0,0,K70/I70))</x:f>
      </x:c>
      <x:c r="W70" s="38" t="str">
        <x:f>IF(A70="","",E70-D70-L70-M70-N70-O70-P70-Q70-R70+S70)</x:f>
      </x:c>
    </x:row>
    <x:row r="71">
      <x:c r="A71" s="25"/>
      <x:c r="B71" s="25"/>
      <x:c r="C71" s="25"/>
      <x:c r="D71" s="30"/>
      <x:c r="E71" s="30"/>
      <x:c r="F71" s="25"/>
      <x:c r="G71" s="25"/>
      <x:c r="H71" s="25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7" t="str">
        <x:f>IF(A71="","",F71+G71-H71)</x:f>
      </x:c>
      <x:c r="U71" s="31" t="str">
        <x:f>IF(A71="","",IF(I71=0,0,J71/I71))</x:f>
      </x:c>
      <x:c r="V71" s="31" t="str">
        <x:f>IF(A71="","",IF(I71=0,0,K71/I71))</x:f>
      </x:c>
      <x:c r="W71" s="38" t="str">
        <x:f>IF(A71="","",E71-D71-L71-M71-N71-O71-P71-Q71-R71+S71)</x:f>
      </x:c>
    </x:row>
    <x:row r="72">
      <x:c r="A72" s="25"/>
      <x:c r="B72" s="25"/>
      <x:c r="C72" s="25"/>
      <x:c r="D72" s="30"/>
      <x:c r="E72" s="30"/>
      <x:c r="F72" s="25"/>
      <x:c r="G72" s="25"/>
      <x:c r="H72" s="25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7" t="str">
        <x:f>IF(A72="","",F72+G72-H72)</x:f>
      </x:c>
      <x:c r="U72" s="31" t="str">
        <x:f>IF(A72="","",IF(I72=0,0,J72/I72))</x:f>
      </x:c>
      <x:c r="V72" s="31" t="str">
        <x:f>IF(A72="","",IF(I72=0,0,K72/I72))</x:f>
      </x:c>
      <x:c r="W72" s="38" t="str">
        <x:f>IF(A72="","",E72-D72-L72-M72-N72-O72-P72-Q72-R72+S72)</x:f>
      </x:c>
    </x:row>
    <x:row r="73">
      <x:c r="A73" s="25"/>
      <x:c r="B73" s="25"/>
      <x:c r="C73" s="25"/>
      <x:c r="D73" s="30"/>
      <x:c r="E73" s="30"/>
      <x:c r="F73" s="25"/>
      <x:c r="G73" s="25"/>
      <x:c r="H73" s="25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7" t="str">
        <x:f>IF(A73="","",F73+G73-H73)</x:f>
      </x:c>
      <x:c r="U73" s="31" t="str">
        <x:f>IF(A73="","",IF(I73=0,0,J73/I73))</x:f>
      </x:c>
      <x:c r="V73" s="31" t="str">
        <x:f>IF(A73="","",IF(I73=0,0,K73/I73))</x:f>
      </x:c>
      <x:c r="W73" s="38" t="str">
        <x:f>IF(A73="","",E73-D73-L73-M73-N73-O73-P73-Q73-R73+S73)</x:f>
      </x:c>
    </x:row>
    <x:row r="74">
      <x:c r="A74" s="25"/>
      <x:c r="B74" s="25"/>
      <x:c r="C74" s="25"/>
      <x:c r="D74" s="30"/>
      <x:c r="E74" s="30"/>
      <x:c r="F74" s="25"/>
      <x:c r="G74" s="25"/>
      <x:c r="H74" s="25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7" t="str">
        <x:f>IF(A74="","",F74+G74-H74)</x:f>
      </x:c>
      <x:c r="U74" s="31" t="str">
        <x:f>IF(A74="","",IF(I74=0,0,J74/I74))</x:f>
      </x:c>
      <x:c r="V74" s="31" t="str">
        <x:f>IF(A74="","",IF(I74=0,0,K74/I74))</x:f>
      </x:c>
      <x:c r="W74" s="38" t="str">
        <x:f>IF(A74="","",E74-D74-L74-M74-N74-O74-P74-Q74-R74+S74)</x:f>
      </x:c>
    </x:row>
    <x:row r="75">
      <x:c r="A75" s="25"/>
      <x:c r="B75" s="25"/>
      <x:c r="C75" s="25"/>
      <x:c r="D75" s="30"/>
      <x:c r="E75" s="30"/>
      <x:c r="F75" s="25"/>
      <x:c r="G75" s="25"/>
      <x:c r="H75" s="25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7" t="str">
        <x:f>IF(A75="","",F75+G75-H75)</x:f>
      </x:c>
      <x:c r="U75" s="31" t="str">
        <x:f>IF(A75="","",IF(I75=0,0,J75/I75))</x:f>
      </x:c>
      <x:c r="V75" s="31" t="str">
        <x:f>IF(A75="","",IF(I75=0,0,K75/I75))</x:f>
      </x:c>
      <x:c r="W75" s="38" t="str">
        <x:f>IF(A75="","",E75-D75-L75-M75-N75-O75-P75-Q75-R75+S75)</x:f>
      </x:c>
    </x:row>
    <x:row r="76">
      <x:c r="A76" s="25"/>
      <x:c r="B76" s="25"/>
      <x:c r="C76" s="25"/>
      <x:c r="D76" s="30"/>
      <x:c r="E76" s="30"/>
      <x:c r="F76" s="25"/>
      <x:c r="G76" s="25"/>
      <x:c r="H76" s="25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7" t="str">
        <x:f>IF(A76="","",F76+G76-H76)</x:f>
      </x:c>
      <x:c r="U76" s="31" t="str">
        <x:f>IF(A76="","",IF(I76=0,0,J76/I76))</x:f>
      </x:c>
      <x:c r="V76" s="31" t="str">
        <x:f>IF(A76="","",IF(I76=0,0,K76/I76))</x:f>
      </x:c>
      <x:c r="W76" s="38" t="str">
        <x:f>IF(A76="","",E76-D76-L76-M76-N76-O76-P76-Q76-R76+S76)</x:f>
      </x:c>
    </x:row>
    <x:row r="77">
      <x:c r="A77" s="25"/>
      <x:c r="B77" s="25"/>
      <x:c r="C77" s="25"/>
      <x:c r="D77" s="30"/>
      <x:c r="E77" s="30"/>
      <x:c r="F77" s="25"/>
      <x:c r="G77" s="25"/>
      <x:c r="H77" s="25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7" t="str">
        <x:f>IF(A77="","",F77+G77-H77)</x:f>
      </x:c>
      <x:c r="U77" s="31" t="str">
        <x:f>IF(A77="","",IF(I77=0,0,J77/I77))</x:f>
      </x:c>
      <x:c r="V77" s="31" t="str">
        <x:f>IF(A77="","",IF(I77=0,0,K77/I77))</x:f>
      </x:c>
      <x:c r="W77" s="38" t="str">
        <x:f>IF(A77="","",E77-D77-L77-M77-N77-O77-P77-Q77-R77+S77)</x:f>
      </x:c>
    </x:row>
    <x:row r="78">
      <x:c r="A78" s="25"/>
      <x:c r="B78" s="25"/>
      <x:c r="C78" s="25"/>
      <x:c r="D78" s="30"/>
      <x:c r="E78" s="30"/>
      <x:c r="F78" s="25"/>
      <x:c r="G78" s="25"/>
      <x:c r="H78" s="25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7" t="str">
        <x:f>IF(A78="","",F78+G78-H78)</x:f>
      </x:c>
      <x:c r="U78" s="31" t="str">
        <x:f>IF(A78="","",IF(I78=0,0,J78/I78))</x:f>
      </x:c>
      <x:c r="V78" s="31" t="str">
        <x:f>IF(A78="","",IF(I78=0,0,K78/I78))</x:f>
      </x:c>
      <x:c r="W78" s="38" t="str">
        <x:f>IF(A78="","",E78-D78-L78-M78-N78-O78-P78-Q78-R78+S78)</x:f>
      </x:c>
    </x:row>
    <x:row r="79">
      <x:c r="A79" s="25"/>
      <x:c r="B79" s="25"/>
      <x:c r="C79" s="25"/>
      <x:c r="D79" s="30"/>
      <x:c r="E79" s="30"/>
      <x:c r="F79" s="25"/>
      <x:c r="G79" s="25"/>
      <x:c r="H79" s="25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7" t="str">
        <x:f>IF(A79="","",F79+G79-H79)</x:f>
      </x:c>
      <x:c r="U79" s="31" t="str">
        <x:f>IF(A79="","",IF(I79=0,0,J79/I79))</x:f>
      </x:c>
      <x:c r="V79" s="31" t="str">
        <x:f>IF(A79="","",IF(I79=0,0,K79/I79))</x:f>
      </x:c>
      <x:c r="W79" s="38" t="str">
        <x:f>IF(A79="","",E79-D79-L79-M79-N79-O79-P79-Q79-R79+S79)</x:f>
      </x:c>
    </x:row>
    <x:row r="80">
      <x:c r="A80" s="25"/>
      <x:c r="B80" s="25"/>
      <x:c r="C80" s="25"/>
      <x:c r="D80" s="30"/>
      <x:c r="E80" s="30"/>
      <x:c r="F80" s="25"/>
      <x:c r="G80" s="25"/>
      <x:c r="H80" s="25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7" t="str">
        <x:f>IF(A80="","",F80+G80-H80)</x:f>
      </x:c>
      <x:c r="U80" s="31" t="str">
        <x:f>IF(A80="","",IF(I80=0,0,J80/I80))</x:f>
      </x:c>
      <x:c r="V80" s="31" t="str">
        <x:f>IF(A80="","",IF(I80=0,0,K80/I80))</x:f>
      </x:c>
      <x:c r="W80" s="38" t="str">
        <x:f>IF(A80="","",E80-D80-L80-M80-N80-O80-P80-Q80-R80+S80)</x:f>
      </x:c>
    </x:row>
    <x:row r="81">
      <x:c r="A81" s="25"/>
      <x:c r="B81" s="25"/>
      <x:c r="C81" s="25"/>
      <x:c r="D81" s="30"/>
      <x:c r="E81" s="30"/>
      <x:c r="F81" s="25"/>
      <x:c r="G81" s="25"/>
      <x:c r="H81" s="25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7" t="str">
        <x:f>IF(A81="","",F81+G81-H81)</x:f>
      </x:c>
      <x:c r="U81" s="31" t="str">
        <x:f>IF(A81="","",IF(I81=0,0,J81/I81))</x:f>
      </x:c>
      <x:c r="V81" s="31" t="str">
        <x:f>IF(A81="","",IF(I81=0,0,K81/I81))</x:f>
      </x:c>
      <x:c r="W81" s="38" t="str">
        <x:f>IF(A81="","",E81-D81-L81-M81-N81-O81-P81-Q81-R81+S81)</x:f>
      </x:c>
    </x:row>
    <x:row r="82">
      <x:c r="A82" s="25"/>
      <x:c r="B82" s="25"/>
      <x:c r="C82" s="25"/>
      <x:c r="D82" s="30"/>
      <x:c r="E82" s="30"/>
      <x:c r="F82" s="25"/>
      <x:c r="G82" s="25"/>
      <x:c r="H82" s="25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7" t="str">
        <x:f>IF(A82="","",F82+G82-H82)</x:f>
      </x:c>
      <x:c r="U82" s="31" t="str">
        <x:f>IF(A82="","",IF(I82=0,0,J82/I82))</x:f>
      </x:c>
      <x:c r="V82" s="31" t="str">
        <x:f>IF(A82="","",IF(I82=0,0,K82/I82))</x:f>
      </x:c>
      <x:c r="W82" s="38" t="str">
        <x:f>IF(A82="","",E82-D82-L82-M82-N82-O82-P82-Q82-R82+S82)</x:f>
      </x:c>
    </x:row>
    <x:row r="83">
      <x:c r="A83" s="25"/>
      <x:c r="B83" s="25"/>
      <x:c r="C83" s="25"/>
      <x:c r="D83" s="30"/>
      <x:c r="E83" s="30"/>
      <x:c r="F83" s="25"/>
      <x:c r="G83" s="25"/>
      <x:c r="H83" s="25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7" t="str">
        <x:f>IF(A83="","",F83+G83-H83)</x:f>
      </x:c>
      <x:c r="U83" s="31" t="str">
        <x:f>IF(A83="","",IF(I83=0,0,J83/I83))</x:f>
      </x:c>
      <x:c r="V83" s="31" t="str">
        <x:f>IF(A83="","",IF(I83=0,0,K83/I83))</x:f>
      </x:c>
      <x:c r="W83" s="38" t="str">
        <x:f>IF(A83="","",E83-D83-L83-M83-N83-O83-P83-Q83-R83+S83)</x:f>
      </x:c>
    </x:row>
    <x:row r="84">
      <x:c r="A84" s="25"/>
      <x:c r="B84" s="25"/>
      <x:c r="C84" s="25"/>
      <x:c r="D84" s="30"/>
      <x:c r="E84" s="30"/>
      <x:c r="F84" s="25"/>
      <x:c r="G84" s="25"/>
      <x:c r="H84" s="25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7" t="str">
        <x:f>IF(A84="","",F84+G84-H84)</x:f>
      </x:c>
      <x:c r="U84" s="31" t="str">
        <x:f>IF(A84="","",IF(I84=0,0,J84/I84))</x:f>
      </x:c>
      <x:c r="V84" s="31" t="str">
        <x:f>IF(A84="","",IF(I84=0,0,K84/I84))</x:f>
      </x:c>
      <x:c r="W84" s="38" t="str">
        <x:f>IF(A84="","",E84-D84-L84-M84-N84-O84-P84-Q84-R84+S84)</x:f>
      </x:c>
    </x:row>
    <x:row r="85">
      <x:c r="A85" s="25"/>
      <x:c r="B85" s="25"/>
      <x:c r="C85" s="25"/>
      <x:c r="D85" s="30"/>
      <x:c r="E85" s="30"/>
      <x:c r="F85" s="25"/>
      <x:c r="G85" s="25"/>
      <x:c r="H85" s="25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7" t="str">
        <x:f>IF(A85="","",F85+G85-H85)</x:f>
      </x:c>
      <x:c r="U85" s="31" t="str">
        <x:f>IF(A85="","",IF(I85=0,0,J85/I85))</x:f>
      </x:c>
      <x:c r="V85" s="31" t="str">
        <x:f>IF(A85="","",IF(I85=0,0,K85/I85))</x:f>
      </x:c>
      <x:c r="W85" s="38" t="str">
        <x:f>IF(A85="","",E85-D85-L85-M85-N85-O85-P85-Q85-R85+S85)</x:f>
      </x:c>
    </x:row>
    <x:row r="86">
      <x:c r="A86" s="25"/>
      <x:c r="B86" s="25"/>
      <x:c r="C86" s="25"/>
      <x:c r="D86" s="30"/>
      <x:c r="E86" s="30"/>
      <x:c r="F86" s="25"/>
      <x:c r="G86" s="25"/>
      <x:c r="H86" s="25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7" t="str">
        <x:f>IF(A86="","",F86+G86-H86)</x:f>
      </x:c>
      <x:c r="U86" s="31" t="str">
        <x:f>IF(A86="","",IF(I86=0,0,J86/I86))</x:f>
      </x:c>
      <x:c r="V86" s="31" t="str">
        <x:f>IF(A86="","",IF(I86=0,0,K86/I86))</x:f>
      </x:c>
      <x:c r="W86" s="38" t="str">
        <x:f>IF(A86="","",E86-D86-L86-M86-N86-O86-P86-Q86-R86+S86)</x:f>
      </x:c>
    </x:row>
    <x:row r="87">
      <x:c r="A87" s="25"/>
      <x:c r="B87" s="25"/>
      <x:c r="C87" s="25"/>
      <x:c r="D87" s="30"/>
      <x:c r="E87" s="30"/>
      <x:c r="F87" s="25"/>
      <x:c r="G87" s="25"/>
      <x:c r="H87" s="25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7" t="str">
        <x:f>IF(A87="","",F87+G87-H87)</x:f>
      </x:c>
      <x:c r="U87" s="31" t="str">
        <x:f>IF(A87="","",IF(I87=0,0,J87/I87))</x:f>
      </x:c>
      <x:c r="V87" s="31" t="str">
        <x:f>IF(A87="","",IF(I87=0,0,K87/I87))</x:f>
      </x:c>
      <x:c r="W87" s="38" t="str">
        <x:f>IF(A87="","",E87-D87-L87-M87-N87-O87-P87-Q87-R87+S87)</x:f>
      </x:c>
    </x:row>
    <x:row r="88">
      <x:c r="A88" s="25"/>
      <x:c r="B88" s="25"/>
      <x:c r="C88" s="25"/>
      <x:c r="D88" s="30"/>
      <x:c r="E88" s="30"/>
      <x:c r="F88" s="25"/>
      <x:c r="G88" s="25"/>
      <x:c r="H88" s="25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7" t="str">
        <x:f>IF(A88="","",F88+G88-H88)</x:f>
      </x:c>
      <x:c r="U88" s="31" t="str">
        <x:f>IF(A88="","",IF(I88=0,0,J88/I88))</x:f>
      </x:c>
      <x:c r="V88" s="31" t="str">
        <x:f>IF(A88="","",IF(I88=0,0,K88/I88))</x:f>
      </x:c>
      <x:c r="W88" s="38" t="str">
        <x:f>IF(A88="","",E88-D88-L88-M88-N88-O88-P88-Q88-R88+S88)</x:f>
      </x:c>
    </x:row>
    <x:row r="89">
      <x:c r="A89" s="25"/>
      <x:c r="B89" s="25"/>
      <x:c r="C89" s="25"/>
      <x:c r="D89" s="30"/>
      <x:c r="E89" s="30"/>
      <x:c r="F89" s="25"/>
      <x:c r="G89" s="25"/>
      <x:c r="H89" s="25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7" t="str">
        <x:f>IF(A89="","",F89+G89-H89)</x:f>
      </x:c>
      <x:c r="U89" s="31" t="str">
        <x:f>IF(A89="","",IF(I89=0,0,J89/I89))</x:f>
      </x:c>
      <x:c r="V89" s="31" t="str">
        <x:f>IF(A89="","",IF(I89=0,0,K89/I89))</x:f>
      </x:c>
      <x:c r="W89" s="38" t="str">
        <x:f>IF(A89="","",E89-D89-L89-M89-N89-O89-P89-Q89-R89+S89)</x:f>
      </x:c>
    </x:row>
    <x:row r="90">
      <x:c r="A90" s="25"/>
      <x:c r="B90" s="25"/>
      <x:c r="C90" s="25"/>
      <x:c r="D90" s="30"/>
      <x:c r="E90" s="30"/>
      <x:c r="F90" s="25"/>
      <x:c r="G90" s="25"/>
      <x:c r="H90" s="25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7" t="str">
        <x:f>IF(A90="","",F90+G90-H90)</x:f>
      </x:c>
      <x:c r="U90" s="31" t="str">
        <x:f>IF(A90="","",IF(I90=0,0,J90/I90))</x:f>
      </x:c>
      <x:c r="V90" s="31" t="str">
        <x:f>IF(A90="","",IF(I90=0,0,K90/I90))</x:f>
      </x:c>
      <x:c r="W90" s="38" t="str">
        <x:f>IF(A90="","",E90-D90-L90-M90-N90-O90-P90-Q90-R90+S90)</x:f>
      </x:c>
    </x:row>
    <x:row r="91">
      <x:c r="A91" s="25"/>
      <x:c r="B91" s="25"/>
      <x:c r="C91" s="25"/>
      <x:c r="D91" s="30"/>
      <x:c r="E91" s="30"/>
      <x:c r="F91" s="25"/>
      <x:c r="G91" s="25"/>
      <x:c r="H91" s="25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7" t="str">
        <x:f>IF(A91="","",F91+G91-H91)</x:f>
      </x:c>
      <x:c r="U91" s="31" t="str">
        <x:f>IF(A91="","",IF(I91=0,0,J91/I91))</x:f>
      </x:c>
      <x:c r="V91" s="31" t="str">
        <x:f>IF(A91="","",IF(I91=0,0,K91/I91))</x:f>
      </x:c>
      <x:c r="W91" s="38" t="str">
        <x:f>IF(A91="","",E91-D91-L91-M91-N91-O91-P91-Q91-R91+S91)</x:f>
      </x:c>
    </x:row>
    <x:row r="92">
      <x:c r="A92" s="25"/>
      <x:c r="B92" s="25"/>
      <x:c r="C92" s="25"/>
      <x:c r="D92" s="30"/>
      <x:c r="E92" s="30"/>
      <x:c r="F92" s="25"/>
      <x:c r="G92" s="25"/>
      <x:c r="H92" s="25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7" t="str">
        <x:f>IF(A92="","",F92+G92-H92)</x:f>
      </x:c>
      <x:c r="U92" s="31" t="str">
        <x:f>IF(A92="","",IF(I92=0,0,J92/I92))</x:f>
      </x:c>
      <x:c r="V92" s="31" t="str">
        <x:f>IF(A92="","",IF(I92=0,0,K92/I92))</x:f>
      </x:c>
      <x:c r="W92" s="38" t="str">
        <x:f>IF(A92="","",E92-D92-L92-M92-N92-O92-P92-Q92-R92+S92)</x:f>
      </x:c>
    </x:row>
    <x:row r="93">
      <x:c r="A93" s="25"/>
      <x:c r="B93" s="25"/>
      <x:c r="C93" s="25"/>
      <x:c r="D93" s="30"/>
      <x:c r="E93" s="30"/>
      <x:c r="F93" s="25"/>
      <x:c r="G93" s="25"/>
      <x:c r="H93" s="25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7" t="str">
        <x:f>IF(A93="","",F93+G93-H93)</x:f>
      </x:c>
      <x:c r="U93" s="31" t="str">
        <x:f>IF(A93="","",IF(I93=0,0,J93/I93))</x:f>
      </x:c>
      <x:c r="V93" s="31" t="str">
        <x:f>IF(A93="","",IF(I93=0,0,K93/I93))</x:f>
      </x:c>
      <x:c r="W93" s="38" t="str">
        <x:f>IF(A93="","",E93-D93-L93-M93-N93-O93-P93-Q93-R93+S93)</x:f>
      </x:c>
    </x:row>
    <x:row r="94">
      <x:c r="A94" s="25"/>
      <x:c r="B94" s="25"/>
      <x:c r="C94" s="25"/>
      <x:c r="D94" s="30"/>
      <x:c r="E94" s="30"/>
      <x:c r="F94" s="25"/>
      <x:c r="G94" s="25"/>
      <x:c r="H94" s="25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7" t="str">
        <x:f>IF(A94="","",F94+G94-H94)</x:f>
      </x:c>
      <x:c r="U94" s="31" t="str">
        <x:f>IF(A94="","",IF(I94=0,0,J94/I94))</x:f>
      </x:c>
      <x:c r="V94" s="31" t="str">
        <x:f>IF(A94="","",IF(I94=0,0,K94/I94))</x:f>
      </x:c>
      <x:c r="W94" s="38" t="str">
        <x:f>IF(A94="","",E94-D94-L94-M94-N94-O94-P94-Q94-R94+S94)</x:f>
      </x:c>
    </x:row>
    <x:row r="95">
      <x:c r="A95" s="25"/>
      <x:c r="B95" s="25"/>
      <x:c r="C95" s="25"/>
      <x:c r="D95" s="30"/>
      <x:c r="E95" s="30"/>
      <x:c r="F95" s="25"/>
      <x:c r="G95" s="25"/>
      <x:c r="H95" s="25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7" t="str">
        <x:f>IF(A95="","",F95+G95-H95)</x:f>
      </x:c>
      <x:c r="U95" s="31" t="str">
        <x:f>IF(A95="","",IF(I95=0,0,J95/I95))</x:f>
      </x:c>
      <x:c r="V95" s="31" t="str">
        <x:f>IF(A95="","",IF(I95=0,0,K95/I95))</x:f>
      </x:c>
      <x:c r="W95" s="38" t="str">
        <x:f>IF(A95="","",E95-D95-L95-M95-N95-O95-P95-Q95-R95+S95)</x:f>
      </x:c>
    </x:row>
    <x:row r="96">
      <x:c r="A96" s="25"/>
      <x:c r="B96" s="25"/>
      <x:c r="C96" s="25"/>
      <x:c r="D96" s="30"/>
      <x:c r="E96" s="30"/>
      <x:c r="F96" s="25"/>
      <x:c r="G96" s="25"/>
      <x:c r="H96" s="25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7" t="str">
        <x:f>IF(A96="","",F96+G96-H96)</x:f>
      </x:c>
      <x:c r="U96" s="31" t="str">
        <x:f>IF(A96="","",IF(I96=0,0,J96/I96))</x:f>
      </x:c>
      <x:c r="V96" s="31" t="str">
        <x:f>IF(A96="","",IF(I96=0,0,K96/I96))</x:f>
      </x:c>
      <x:c r="W96" s="38" t="str">
        <x:f>IF(A96="","",E96-D96-L96-M96-N96-O96-P96-Q96-R96+S96)</x:f>
      </x:c>
    </x:row>
    <x:row r="97">
      <x:c r="A97" s="25"/>
      <x:c r="B97" s="25"/>
      <x:c r="C97" s="25"/>
      <x:c r="D97" s="30"/>
      <x:c r="E97" s="30"/>
      <x:c r="F97" s="25"/>
      <x:c r="G97" s="25"/>
      <x:c r="H97" s="25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7" t="str">
        <x:f>IF(A97="","",F97+G97-H97)</x:f>
      </x:c>
      <x:c r="U97" s="31" t="str">
        <x:f>IF(A97="","",IF(I97=0,0,J97/I97))</x:f>
      </x:c>
      <x:c r="V97" s="31" t="str">
        <x:f>IF(A97="","",IF(I97=0,0,K97/I97))</x:f>
      </x:c>
      <x:c r="W97" s="38" t="str">
        <x:f>IF(A97="","",E97-D97-L97-M97-N97-O97-P97-Q97-R97+S97)</x:f>
      </x:c>
    </x:row>
    <x:row r="98">
      <x:c r="A98" s="25"/>
      <x:c r="B98" s="25"/>
      <x:c r="C98" s="25"/>
      <x:c r="D98" s="30"/>
      <x:c r="E98" s="30"/>
      <x:c r="F98" s="25"/>
      <x:c r="G98" s="25"/>
      <x:c r="H98" s="25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7" t="str">
        <x:f>IF(A98="","",F98+G98-H98)</x:f>
      </x:c>
      <x:c r="U98" s="31" t="str">
        <x:f>IF(A98="","",IF(I98=0,0,J98/I98))</x:f>
      </x:c>
      <x:c r="V98" s="31" t="str">
        <x:f>IF(A98="","",IF(I98=0,0,K98/I98))</x:f>
      </x:c>
      <x:c r="W98" s="38" t="str">
        <x:f>IF(A98="","",E98-D98-L98-M98-N98-O98-P98-Q98-R98+S98)</x:f>
      </x:c>
    </x:row>
    <x:row r="99">
      <x:c r="A99" s="25"/>
      <x:c r="B99" s="25"/>
      <x:c r="C99" s="25"/>
      <x:c r="D99" s="30"/>
      <x:c r="E99" s="30"/>
      <x:c r="F99" s="25"/>
      <x:c r="G99" s="25"/>
      <x:c r="H99" s="25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7" t="str">
        <x:f>IF(A99="","",F99+G99-H99)</x:f>
      </x:c>
      <x:c r="U99" s="31" t="str">
        <x:f>IF(A99="","",IF(I99=0,0,J99/I99))</x:f>
      </x:c>
      <x:c r="V99" s="31" t="str">
        <x:f>IF(A99="","",IF(I99=0,0,K99/I99))</x:f>
      </x:c>
      <x:c r="W99" s="38" t="str">
        <x:f>IF(A99="","",E99-D99-L99-M99-N99-O99-P99-Q99-R99+S99)</x:f>
      </x:c>
    </x:row>
    <x:row r="100">
      <x:c r="A100" s="25"/>
      <x:c r="B100" s="25"/>
      <x:c r="C100" s="25"/>
      <x:c r="D100" s="30"/>
      <x:c r="E100" s="30"/>
      <x:c r="F100" s="25"/>
      <x:c r="G100" s="25"/>
      <x:c r="H100" s="25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7" t="str">
        <x:f>IF(A100="","",F100+G100-H100)</x:f>
      </x:c>
      <x:c r="U100" s="31" t="str">
        <x:f>IF(A100="","",IF(I100=0,0,J100/I100))</x:f>
      </x:c>
      <x:c r="V100" s="31" t="str">
        <x:f>IF(A100="","",IF(I100=0,0,K100/I100))</x:f>
      </x:c>
      <x:c r="W100" s="38" t="str">
        <x:f>IF(A100="","",E100-D100-L100-M100-N100-O100-P100-Q100-R100+S100)</x:f>
      </x:c>
    </x:row>
    <x:row r="101">
      <x:c r="A101" s="25"/>
      <x:c r="B101" s="25"/>
      <x:c r="C101" s="25"/>
      <x:c r="D101" s="30"/>
      <x:c r="E101" s="30"/>
      <x:c r="F101" s="25"/>
      <x:c r="G101" s="25"/>
      <x:c r="H101" s="25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7" t="str">
        <x:f>IF(A101="","",F101+G101-H101)</x:f>
      </x:c>
      <x:c r="U101" s="31" t="str">
        <x:f>IF(A101="","",IF(I101=0,0,J101/I101))</x:f>
      </x:c>
      <x:c r="V101" s="31" t="str">
        <x:f>IF(A101="","",IF(I101=0,0,K101/I101))</x:f>
      </x:c>
      <x:c r="W101" s="38" t="str">
        <x:f>IF(A101="","",E101-D101-L101-M101-N101-O101-P101-Q101-R101+S101)</x:f>
      </x:c>
    </x:row>
    <x:row r="102">
      <x:c r="A102" s="25"/>
      <x:c r="B102" s="25"/>
      <x:c r="C102" s="25"/>
      <x:c r="D102" s="30"/>
      <x:c r="E102" s="30"/>
      <x:c r="F102" s="25"/>
      <x:c r="G102" s="25"/>
      <x:c r="H102" s="25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7" t="str">
        <x:f>IF(A102="","",F102+G102-H102)</x:f>
      </x:c>
      <x:c r="U102" s="31" t="str">
        <x:f>IF(A102="","",IF(I102=0,0,J102/I102))</x:f>
      </x:c>
      <x:c r="V102" s="31" t="str">
        <x:f>IF(A102="","",IF(I102=0,0,K102/I102))</x:f>
      </x:c>
      <x:c r="W102" s="38" t="str">
        <x:f>IF(A102="","",E102-D102-L102-M102-N102-O102-P102-Q102-R102+S102)</x:f>
      </x:c>
    </x:row>
    <x:row r="103">
      <x:c r="A103" s="25"/>
      <x:c r="B103" s="25"/>
      <x:c r="C103" s="25"/>
      <x:c r="D103" s="30"/>
      <x:c r="E103" s="30"/>
      <x:c r="F103" s="25"/>
      <x:c r="G103" s="25"/>
      <x:c r="H103" s="25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7" t="str">
        <x:f>IF(A103="","",F103+G103-H103)</x:f>
      </x:c>
      <x:c r="U103" s="31" t="str">
        <x:f>IF(A103="","",IF(I103=0,0,J103/I103))</x:f>
      </x:c>
      <x:c r="V103" s="31" t="str">
        <x:f>IF(A103="","",IF(I103=0,0,K103/I103))</x:f>
      </x:c>
      <x:c r="W103" s="38" t="str">
        <x:f>IF(A103="","",E103-D103-L103-M103-N103-O103-P103-Q103-R103+S103)</x:f>
      </x:c>
    </x:row>
    <x:row r="104">
      <x:c r="A104" s="25"/>
      <x:c r="B104" s="25"/>
      <x:c r="C104" s="25"/>
      <x:c r="D104" s="30"/>
      <x:c r="E104" s="30"/>
      <x:c r="F104" s="25"/>
      <x:c r="G104" s="25"/>
      <x:c r="H104" s="25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7" t="str">
        <x:f>IF(A104="","",F104+G104-H104)</x:f>
      </x:c>
      <x:c r="U104" s="31" t="str">
        <x:f>IF(A104="","",IF(I104=0,0,J104/I104))</x:f>
      </x:c>
      <x:c r="V104" s="31" t="str">
        <x:f>IF(A104="","",IF(I104=0,0,K104/I104))</x:f>
      </x:c>
      <x:c r="W104" s="38" t="str">
        <x:f>IF(A104="","",E104-D104-L104-M104-N104-O104-P104-Q104-R104+S104)</x:f>
      </x:c>
    </x:row>
    <x:row r="105">
      <x:c r="A105" s="25"/>
      <x:c r="B105" s="25"/>
      <x:c r="C105" s="25"/>
      <x:c r="D105" s="30"/>
      <x:c r="E105" s="30"/>
      <x:c r="F105" s="25"/>
      <x:c r="G105" s="25"/>
      <x:c r="H105" s="25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7" t="str">
        <x:f>IF(A105="","",F105+G105-H105)</x:f>
      </x:c>
      <x:c r="U105" s="31" t="str">
        <x:f>IF(A105="","",IF(I105=0,0,J105/I105))</x:f>
      </x:c>
      <x:c r="V105" s="31" t="str">
        <x:f>IF(A105="","",IF(I105=0,0,K105/I105))</x:f>
      </x:c>
      <x:c r="W105" s="38" t="str">
        <x:f>IF(A105="","",E105-D105-L105-M105-N105-O105-P105-Q105-R105+S105)</x:f>
      </x:c>
    </x:row>
    <x:row r="106">
      <x:c r="A106" s="25"/>
      <x:c r="B106" s="25"/>
      <x:c r="C106" s="25"/>
      <x:c r="D106" s="30"/>
      <x:c r="E106" s="30"/>
      <x:c r="F106" s="25"/>
      <x:c r="G106" s="25"/>
      <x:c r="H106" s="25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7" t="str">
        <x:f>IF(A106="","",F106+G106-H106)</x:f>
      </x:c>
      <x:c r="U106" s="31" t="str">
        <x:f>IF(A106="","",IF(I106=0,0,J106/I106))</x:f>
      </x:c>
      <x:c r="V106" s="31" t="str">
        <x:f>IF(A106="","",IF(I106=0,0,K106/I106))</x:f>
      </x:c>
      <x:c r="W106" s="38" t="str">
        <x:f>IF(A106="","",E106-D106-L106-M106-N106-O106-P106-Q106-R106+S106)</x:f>
      </x:c>
    </x:row>
  </x:sheetData>
  <x:mergeCells>
    <x:mergeCell ref="A1:W1"/>
    <x:mergeCell ref="A2:W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8" hidden="0" customWidth="1"/>
    <x:col min="16" max="16" width="16" hidden="0" customWidth="1"/>
  </x:cols>
  <x:sheetData>
    <x:row r="1" ht="30" customHeight="1">
      <x:c r="A1" s="14" t="str">
        <x:v>Price Protection</x:v>
      </x:c>
    </x:row>
    <x:row r="2" ht="32" customHeight="1">
      <x:c r="A2" s="17" t="str">
        <x:v>A claim exists only under the signed eligibility rule. Record current eligible stock and actual settlement separately.</x:v>
      </x:c>
    </x:row>
    <x:row r="6" ht="32" customHeight="1">
      <x:c r="A6" s="22" t="str">
        <x:v>Claim ID</x:v>
      </x:c>
      <x:c r="B6" s="22" t="str">
        <x:v>Supplier</x:v>
      </x:c>
      <x:c r="C6" s="22" t="str">
        <x:v>Brand/SKU</x:v>
      </x:c>
      <x:c r="D6" s="22" t="str">
        <x:v>Trigger date</x:v>
      </x:c>
      <x:c r="E6" s="22" t="str">
        <x:v>Eligible units</x:v>
      </x:c>
      <x:c r="F6" s="22" t="str">
        <x:v>Old net cost/unit</x:v>
      </x:c>
      <x:c r="G6" s="22" t="str">
        <x:v>New net cost/unit</x:v>
      </x:c>
      <x:c r="H6" s="22" t="str">
        <x:v>Gross exposure</x:v>
      </x:c>
      <x:c r="I6" s="22" t="str">
        <x:v>Claim deadline</x:v>
      </x:c>
      <x:c r="J6" s="22" t="str">
        <x:v>Submitted date</x:v>
      </x:c>
      <x:c r="K6" s="22" t="str">
        <x:v>Expected amount</x:v>
      </x:c>
      <x:c r="L6" s="22" t="str">
        <x:v>Received amount</x:v>
      </x:c>
      <x:c r="M6" s="22" t="str">
        <x:v>Outstanding</x:v>
      </x:c>
      <x:c r="N6" s="22" t="str">
        <x:v>Status</x:v>
      </x:c>
      <x:c r="O6" s="22" t="str">
        <x:v>Evidence reference</x:v>
      </x:c>
      <x:c r="P6" s="22" t="str">
        <x:v>Owner</x:v>
      </x:c>
    </x:row>
    <x:row r="7">
      <x:c r="A7" s="25"/>
      <x:c r="B7" s="25"/>
      <x:c r="C7" s="25"/>
      <x:c r="D7" s="39"/>
      <x:c r="E7" s="25"/>
      <x:c r="F7" s="30"/>
      <x:c r="G7" s="30"/>
      <x:c r="H7" s="38" t="str">
        <x:f>IF(A7="","",E7*(F7-G7))</x:f>
      </x:c>
      <x:c r="I7" s="39"/>
      <x:c r="J7" s="39"/>
      <x:c r="K7" s="30"/>
      <x:c r="L7" s="30"/>
      <x:c r="M7" s="38" t="str">
        <x:f>IF(A7="","",K7-L7)</x:f>
      </x:c>
      <x:c r="N7" s="25"/>
      <x:c r="O7" s="25"/>
      <x:c r="P7" s="25"/>
    </x:row>
    <x:row r="8">
      <x:c r="A8" s="25"/>
      <x:c r="B8" s="25"/>
      <x:c r="C8" s="25"/>
      <x:c r="D8" s="39"/>
      <x:c r="E8" s="25"/>
      <x:c r="F8" s="30"/>
      <x:c r="G8" s="30"/>
      <x:c r="H8" s="38" t="str">
        <x:f>IF(A8="","",E8*(F8-G8))</x:f>
      </x:c>
      <x:c r="I8" s="39"/>
      <x:c r="J8" s="39"/>
      <x:c r="K8" s="30"/>
      <x:c r="L8" s="30"/>
      <x:c r="M8" s="38" t="str">
        <x:f>IF(A8="","",K8-L8)</x:f>
      </x:c>
      <x:c r="N8" s="25"/>
      <x:c r="O8" s="25"/>
      <x:c r="P8" s="25"/>
    </x:row>
    <x:row r="9">
      <x:c r="A9" s="25"/>
      <x:c r="B9" s="25"/>
      <x:c r="C9" s="25"/>
      <x:c r="D9" s="39"/>
      <x:c r="E9" s="25"/>
      <x:c r="F9" s="30"/>
      <x:c r="G9" s="30"/>
      <x:c r="H9" s="38" t="str">
        <x:f>IF(A9="","",E9*(F9-G9))</x:f>
      </x:c>
      <x:c r="I9" s="39"/>
      <x:c r="J9" s="39"/>
      <x:c r="K9" s="30"/>
      <x:c r="L9" s="30"/>
      <x:c r="M9" s="38" t="str">
        <x:f>IF(A9="","",K9-L9)</x:f>
      </x:c>
      <x:c r="N9" s="25"/>
      <x:c r="O9" s="25"/>
      <x:c r="P9" s="25"/>
    </x:row>
    <x:row r="10">
      <x:c r="A10" s="25"/>
      <x:c r="B10" s="25"/>
      <x:c r="C10" s="25"/>
      <x:c r="D10" s="39"/>
      <x:c r="E10" s="25"/>
      <x:c r="F10" s="30"/>
      <x:c r="G10" s="30"/>
      <x:c r="H10" s="38" t="str">
        <x:f>IF(A10="","",E10*(F10-G10))</x:f>
      </x:c>
      <x:c r="I10" s="39"/>
      <x:c r="J10" s="39"/>
      <x:c r="K10" s="30"/>
      <x:c r="L10" s="30"/>
      <x:c r="M10" s="38" t="str">
        <x:f>IF(A10="","",K10-L10)</x:f>
      </x:c>
      <x:c r="N10" s="25"/>
      <x:c r="O10" s="25"/>
      <x:c r="P10" s="25"/>
    </x:row>
    <x:row r="11">
      <x:c r="A11" s="25"/>
      <x:c r="B11" s="25"/>
      <x:c r="C11" s="25"/>
      <x:c r="D11" s="39"/>
      <x:c r="E11" s="25"/>
      <x:c r="F11" s="30"/>
      <x:c r="G11" s="30"/>
      <x:c r="H11" s="38" t="str">
        <x:f>IF(A11="","",E11*(F11-G11))</x:f>
      </x:c>
      <x:c r="I11" s="39"/>
      <x:c r="J11" s="39"/>
      <x:c r="K11" s="30"/>
      <x:c r="L11" s="30"/>
      <x:c r="M11" s="38" t="str">
        <x:f>IF(A11="","",K11-L11)</x:f>
      </x:c>
      <x:c r="N11" s="25"/>
      <x:c r="O11" s="25"/>
      <x:c r="P11" s="25"/>
    </x:row>
    <x:row r="12">
      <x:c r="A12" s="25"/>
      <x:c r="B12" s="25"/>
      <x:c r="C12" s="25"/>
      <x:c r="D12" s="39"/>
      <x:c r="E12" s="25"/>
      <x:c r="F12" s="30"/>
      <x:c r="G12" s="30"/>
      <x:c r="H12" s="38" t="str">
        <x:f>IF(A12="","",E12*(F12-G12))</x:f>
      </x:c>
      <x:c r="I12" s="39"/>
      <x:c r="J12" s="39"/>
      <x:c r="K12" s="30"/>
      <x:c r="L12" s="30"/>
      <x:c r="M12" s="38" t="str">
        <x:f>IF(A12="","",K12-L12)</x:f>
      </x:c>
      <x:c r="N12" s="25"/>
      <x:c r="O12" s="25"/>
      <x:c r="P12" s="25"/>
    </x:row>
    <x:row r="13">
      <x:c r="A13" s="25"/>
      <x:c r="B13" s="25"/>
      <x:c r="C13" s="25"/>
      <x:c r="D13" s="39"/>
      <x:c r="E13" s="25"/>
      <x:c r="F13" s="30"/>
      <x:c r="G13" s="30"/>
      <x:c r="H13" s="38" t="str">
        <x:f>IF(A13="","",E13*(F13-G13))</x:f>
      </x:c>
      <x:c r="I13" s="39"/>
      <x:c r="J13" s="39"/>
      <x:c r="K13" s="30"/>
      <x:c r="L13" s="30"/>
      <x:c r="M13" s="38" t="str">
        <x:f>IF(A13="","",K13-L13)</x:f>
      </x:c>
      <x:c r="N13" s="25"/>
      <x:c r="O13" s="25"/>
      <x:c r="P13" s="25"/>
    </x:row>
    <x:row r="14">
      <x:c r="A14" s="25"/>
      <x:c r="B14" s="25"/>
      <x:c r="C14" s="25"/>
      <x:c r="D14" s="39"/>
      <x:c r="E14" s="25"/>
      <x:c r="F14" s="30"/>
      <x:c r="G14" s="30"/>
      <x:c r="H14" s="38" t="str">
        <x:f>IF(A14="","",E14*(F14-G14))</x:f>
      </x:c>
      <x:c r="I14" s="39"/>
      <x:c r="J14" s="39"/>
      <x:c r="K14" s="30"/>
      <x:c r="L14" s="30"/>
      <x:c r="M14" s="38" t="str">
        <x:f>IF(A14="","",K14-L14)</x:f>
      </x:c>
      <x:c r="N14" s="25"/>
      <x:c r="O14" s="25"/>
      <x:c r="P14" s="25"/>
    </x:row>
    <x:row r="15">
      <x:c r="A15" s="25"/>
      <x:c r="B15" s="25"/>
      <x:c r="C15" s="25"/>
      <x:c r="D15" s="39"/>
      <x:c r="E15" s="25"/>
      <x:c r="F15" s="30"/>
      <x:c r="G15" s="30"/>
      <x:c r="H15" s="38" t="str">
        <x:f>IF(A15="","",E15*(F15-G15))</x:f>
      </x:c>
      <x:c r="I15" s="39"/>
      <x:c r="J15" s="39"/>
      <x:c r="K15" s="30"/>
      <x:c r="L15" s="30"/>
      <x:c r="M15" s="38" t="str">
        <x:f>IF(A15="","",K15-L15)</x:f>
      </x:c>
      <x:c r="N15" s="25"/>
      <x:c r="O15" s="25"/>
      <x:c r="P15" s="25"/>
    </x:row>
    <x:row r="16">
      <x:c r="A16" s="25"/>
      <x:c r="B16" s="25"/>
      <x:c r="C16" s="25"/>
      <x:c r="D16" s="39"/>
      <x:c r="E16" s="25"/>
      <x:c r="F16" s="30"/>
      <x:c r="G16" s="30"/>
      <x:c r="H16" s="38" t="str">
        <x:f>IF(A16="","",E16*(F16-G16))</x:f>
      </x:c>
      <x:c r="I16" s="39"/>
      <x:c r="J16" s="39"/>
      <x:c r="K16" s="30"/>
      <x:c r="L16" s="30"/>
      <x:c r="M16" s="38" t="str">
        <x:f>IF(A16="","",K16-L16)</x:f>
      </x:c>
      <x:c r="N16" s="25"/>
      <x:c r="O16" s="25"/>
      <x:c r="P16" s="25"/>
    </x:row>
    <x:row r="17">
      <x:c r="A17" s="25"/>
      <x:c r="B17" s="25"/>
      <x:c r="C17" s="25"/>
      <x:c r="D17" s="39"/>
      <x:c r="E17" s="25"/>
      <x:c r="F17" s="30"/>
      <x:c r="G17" s="30"/>
      <x:c r="H17" s="38" t="str">
        <x:f>IF(A17="","",E17*(F17-G17))</x:f>
      </x:c>
      <x:c r="I17" s="39"/>
      <x:c r="J17" s="39"/>
      <x:c r="K17" s="30"/>
      <x:c r="L17" s="30"/>
      <x:c r="M17" s="38" t="str">
        <x:f>IF(A17="","",K17-L17)</x:f>
      </x:c>
      <x:c r="N17" s="25"/>
      <x:c r="O17" s="25"/>
      <x:c r="P17" s="25"/>
    </x:row>
    <x:row r="18">
      <x:c r="A18" s="25"/>
      <x:c r="B18" s="25"/>
      <x:c r="C18" s="25"/>
      <x:c r="D18" s="39"/>
      <x:c r="E18" s="25"/>
      <x:c r="F18" s="30"/>
      <x:c r="G18" s="30"/>
      <x:c r="H18" s="38" t="str">
        <x:f>IF(A18="","",E18*(F18-G18))</x:f>
      </x:c>
      <x:c r="I18" s="39"/>
      <x:c r="J18" s="39"/>
      <x:c r="K18" s="30"/>
      <x:c r="L18" s="30"/>
      <x:c r="M18" s="38" t="str">
        <x:f>IF(A18="","",K18-L18)</x:f>
      </x:c>
      <x:c r="N18" s="25"/>
      <x:c r="O18" s="25"/>
      <x:c r="P18" s="25"/>
    </x:row>
    <x:row r="19">
      <x:c r="A19" s="25"/>
      <x:c r="B19" s="25"/>
      <x:c r="C19" s="25"/>
      <x:c r="D19" s="39"/>
      <x:c r="E19" s="25"/>
      <x:c r="F19" s="30"/>
      <x:c r="G19" s="30"/>
      <x:c r="H19" s="38" t="str">
        <x:f>IF(A19="","",E19*(F19-G19))</x:f>
      </x:c>
      <x:c r="I19" s="39"/>
      <x:c r="J19" s="39"/>
      <x:c r="K19" s="30"/>
      <x:c r="L19" s="30"/>
      <x:c r="M19" s="38" t="str">
        <x:f>IF(A19="","",K19-L19)</x:f>
      </x:c>
      <x:c r="N19" s="25"/>
      <x:c r="O19" s="25"/>
      <x:c r="P19" s="25"/>
    </x:row>
    <x:row r="20">
      <x:c r="A20" s="25"/>
      <x:c r="B20" s="25"/>
      <x:c r="C20" s="25"/>
      <x:c r="D20" s="39"/>
      <x:c r="E20" s="25"/>
      <x:c r="F20" s="30"/>
      <x:c r="G20" s="30"/>
      <x:c r="H20" s="38" t="str">
        <x:f>IF(A20="","",E20*(F20-G20))</x:f>
      </x:c>
      <x:c r="I20" s="39"/>
      <x:c r="J20" s="39"/>
      <x:c r="K20" s="30"/>
      <x:c r="L20" s="30"/>
      <x:c r="M20" s="38" t="str">
        <x:f>IF(A20="","",K20-L20)</x:f>
      </x:c>
      <x:c r="N20" s="25"/>
      <x:c r="O20" s="25"/>
      <x:c r="P20" s="25"/>
    </x:row>
    <x:row r="21">
      <x:c r="A21" s="25"/>
      <x:c r="B21" s="25"/>
      <x:c r="C21" s="25"/>
      <x:c r="D21" s="39"/>
      <x:c r="E21" s="25"/>
      <x:c r="F21" s="30"/>
      <x:c r="G21" s="30"/>
      <x:c r="H21" s="38" t="str">
        <x:f>IF(A21="","",E21*(F21-G21))</x:f>
      </x:c>
      <x:c r="I21" s="39"/>
      <x:c r="J21" s="39"/>
      <x:c r="K21" s="30"/>
      <x:c r="L21" s="30"/>
      <x:c r="M21" s="38" t="str">
        <x:f>IF(A21="","",K21-L21)</x:f>
      </x:c>
      <x:c r="N21" s="25"/>
      <x:c r="O21" s="25"/>
      <x:c r="P21" s="25"/>
    </x:row>
    <x:row r="22">
      <x:c r="A22" s="25"/>
      <x:c r="B22" s="25"/>
      <x:c r="C22" s="25"/>
      <x:c r="D22" s="39"/>
      <x:c r="E22" s="25"/>
      <x:c r="F22" s="30"/>
      <x:c r="G22" s="30"/>
      <x:c r="H22" s="38" t="str">
        <x:f>IF(A22="","",E22*(F22-G22))</x:f>
      </x:c>
      <x:c r="I22" s="39"/>
      <x:c r="J22" s="39"/>
      <x:c r="K22" s="30"/>
      <x:c r="L22" s="30"/>
      <x:c r="M22" s="38" t="str">
        <x:f>IF(A22="","",K22-L22)</x:f>
      </x:c>
      <x:c r="N22" s="25"/>
      <x:c r="O22" s="25"/>
      <x:c r="P22" s="25"/>
    </x:row>
    <x:row r="23">
      <x:c r="A23" s="25"/>
      <x:c r="B23" s="25"/>
      <x:c r="C23" s="25"/>
      <x:c r="D23" s="39"/>
      <x:c r="E23" s="25"/>
      <x:c r="F23" s="30"/>
      <x:c r="G23" s="30"/>
      <x:c r="H23" s="38" t="str">
        <x:f>IF(A23="","",E23*(F23-G23))</x:f>
      </x:c>
      <x:c r="I23" s="39"/>
      <x:c r="J23" s="39"/>
      <x:c r="K23" s="30"/>
      <x:c r="L23" s="30"/>
      <x:c r="M23" s="38" t="str">
        <x:f>IF(A23="","",K23-L23)</x:f>
      </x:c>
      <x:c r="N23" s="25"/>
      <x:c r="O23" s="25"/>
      <x:c r="P23" s="25"/>
    </x:row>
    <x:row r="24">
      <x:c r="A24" s="25"/>
      <x:c r="B24" s="25"/>
      <x:c r="C24" s="25"/>
      <x:c r="D24" s="39"/>
      <x:c r="E24" s="25"/>
      <x:c r="F24" s="30"/>
      <x:c r="G24" s="30"/>
      <x:c r="H24" s="38" t="str">
        <x:f>IF(A24="","",E24*(F24-G24))</x:f>
      </x:c>
      <x:c r="I24" s="39"/>
      <x:c r="J24" s="39"/>
      <x:c r="K24" s="30"/>
      <x:c r="L24" s="30"/>
      <x:c r="M24" s="38" t="str">
        <x:f>IF(A24="","",K24-L24)</x:f>
      </x:c>
      <x:c r="N24" s="25"/>
      <x:c r="O24" s="25"/>
      <x:c r="P24" s="25"/>
    </x:row>
    <x:row r="25">
      <x:c r="A25" s="25"/>
      <x:c r="B25" s="25"/>
      <x:c r="C25" s="25"/>
      <x:c r="D25" s="39"/>
      <x:c r="E25" s="25"/>
      <x:c r="F25" s="30"/>
      <x:c r="G25" s="30"/>
      <x:c r="H25" s="38" t="str">
        <x:f>IF(A25="","",E25*(F25-G25))</x:f>
      </x:c>
      <x:c r="I25" s="39"/>
      <x:c r="J25" s="39"/>
      <x:c r="K25" s="30"/>
      <x:c r="L25" s="30"/>
      <x:c r="M25" s="38" t="str">
        <x:f>IF(A25="","",K25-L25)</x:f>
      </x:c>
      <x:c r="N25" s="25"/>
      <x:c r="O25" s="25"/>
      <x:c r="P25" s="25"/>
    </x:row>
    <x:row r="26">
      <x:c r="A26" s="25"/>
      <x:c r="B26" s="25"/>
      <x:c r="C26" s="25"/>
      <x:c r="D26" s="39"/>
      <x:c r="E26" s="25"/>
      <x:c r="F26" s="30"/>
      <x:c r="G26" s="30"/>
      <x:c r="H26" s="38" t="str">
        <x:f>IF(A26="","",E26*(F26-G26))</x:f>
      </x:c>
      <x:c r="I26" s="39"/>
      <x:c r="J26" s="39"/>
      <x:c r="K26" s="30"/>
      <x:c r="L26" s="30"/>
      <x:c r="M26" s="38" t="str">
        <x:f>IF(A26="","",K26-L26)</x:f>
      </x:c>
      <x:c r="N26" s="25"/>
      <x:c r="O26" s="25"/>
      <x:c r="P26" s="25"/>
    </x:row>
    <x:row r="27">
      <x:c r="A27" s="25"/>
      <x:c r="B27" s="25"/>
      <x:c r="C27" s="25"/>
      <x:c r="D27" s="39"/>
      <x:c r="E27" s="25"/>
      <x:c r="F27" s="30"/>
      <x:c r="G27" s="30"/>
      <x:c r="H27" s="38" t="str">
        <x:f>IF(A27="","",E27*(F27-G27))</x:f>
      </x:c>
      <x:c r="I27" s="39"/>
      <x:c r="J27" s="39"/>
      <x:c r="K27" s="30"/>
      <x:c r="L27" s="30"/>
      <x:c r="M27" s="38" t="str">
        <x:f>IF(A27="","",K27-L27)</x:f>
      </x:c>
      <x:c r="N27" s="25"/>
      <x:c r="O27" s="25"/>
      <x:c r="P27" s="25"/>
    </x:row>
    <x:row r="28">
      <x:c r="A28" s="25"/>
      <x:c r="B28" s="25"/>
      <x:c r="C28" s="25"/>
      <x:c r="D28" s="39"/>
      <x:c r="E28" s="25"/>
      <x:c r="F28" s="30"/>
      <x:c r="G28" s="30"/>
      <x:c r="H28" s="38" t="str">
        <x:f>IF(A28="","",E28*(F28-G28))</x:f>
      </x:c>
      <x:c r="I28" s="39"/>
      <x:c r="J28" s="39"/>
      <x:c r="K28" s="30"/>
      <x:c r="L28" s="30"/>
      <x:c r="M28" s="38" t="str">
        <x:f>IF(A28="","",K28-L28)</x:f>
      </x:c>
      <x:c r="N28" s="25"/>
      <x:c r="O28" s="25"/>
      <x:c r="P28" s="25"/>
    </x:row>
    <x:row r="29">
      <x:c r="A29" s="25"/>
      <x:c r="B29" s="25"/>
      <x:c r="C29" s="25"/>
      <x:c r="D29" s="39"/>
      <x:c r="E29" s="25"/>
      <x:c r="F29" s="30"/>
      <x:c r="G29" s="30"/>
      <x:c r="H29" s="38" t="str">
        <x:f>IF(A29="","",E29*(F29-G29))</x:f>
      </x:c>
      <x:c r="I29" s="39"/>
      <x:c r="J29" s="39"/>
      <x:c r="K29" s="30"/>
      <x:c r="L29" s="30"/>
      <x:c r="M29" s="38" t="str">
        <x:f>IF(A29="","",K29-L29)</x:f>
      </x:c>
      <x:c r="N29" s="25"/>
      <x:c r="O29" s="25"/>
      <x:c r="P29" s="25"/>
    </x:row>
    <x:row r="30">
      <x:c r="A30" s="25"/>
      <x:c r="B30" s="25"/>
      <x:c r="C30" s="25"/>
      <x:c r="D30" s="39"/>
      <x:c r="E30" s="25"/>
      <x:c r="F30" s="30"/>
      <x:c r="G30" s="30"/>
      <x:c r="H30" s="38" t="str">
        <x:f>IF(A30="","",E30*(F30-G30))</x:f>
      </x:c>
      <x:c r="I30" s="39"/>
      <x:c r="J30" s="39"/>
      <x:c r="K30" s="30"/>
      <x:c r="L30" s="30"/>
      <x:c r="M30" s="38" t="str">
        <x:f>IF(A30="","",K30-L30)</x:f>
      </x:c>
      <x:c r="N30" s="25"/>
      <x:c r="O30" s="25"/>
      <x:c r="P30" s="25"/>
    </x:row>
    <x:row r="31">
      <x:c r="A31" s="25"/>
      <x:c r="B31" s="25"/>
      <x:c r="C31" s="25"/>
      <x:c r="D31" s="39"/>
      <x:c r="E31" s="25"/>
      <x:c r="F31" s="30"/>
      <x:c r="G31" s="30"/>
      <x:c r="H31" s="38" t="str">
        <x:f>IF(A31="","",E31*(F31-G31))</x:f>
      </x:c>
      <x:c r="I31" s="39"/>
      <x:c r="J31" s="39"/>
      <x:c r="K31" s="30"/>
      <x:c r="L31" s="30"/>
      <x:c r="M31" s="38" t="str">
        <x:f>IF(A31="","",K31-L31)</x:f>
      </x:c>
      <x:c r="N31" s="25"/>
      <x:c r="O31" s="25"/>
      <x:c r="P31" s="25"/>
    </x:row>
    <x:row r="32">
      <x:c r="A32" s="25"/>
      <x:c r="B32" s="25"/>
      <x:c r="C32" s="25"/>
      <x:c r="D32" s="39"/>
      <x:c r="E32" s="25"/>
      <x:c r="F32" s="30"/>
      <x:c r="G32" s="30"/>
      <x:c r="H32" s="38" t="str">
        <x:f>IF(A32="","",E32*(F32-G32))</x:f>
      </x:c>
      <x:c r="I32" s="39"/>
      <x:c r="J32" s="39"/>
      <x:c r="K32" s="30"/>
      <x:c r="L32" s="30"/>
      <x:c r="M32" s="38" t="str">
        <x:f>IF(A32="","",K32-L32)</x:f>
      </x:c>
      <x:c r="N32" s="25"/>
      <x:c r="O32" s="25"/>
      <x:c r="P32" s="25"/>
    </x:row>
    <x:row r="33">
      <x:c r="A33" s="25"/>
      <x:c r="B33" s="25"/>
      <x:c r="C33" s="25"/>
      <x:c r="D33" s="39"/>
      <x:c r="E33" s="25"/>
      <x:c r="F33" s="30"/>
      <x:c r="G33" s="30"/>
      <x:c r="H33" s="38" t="str">
        <x:f>IF(A33="","",E33*(F33-G33))</x:f>
      </x:c>
      <x:c r="I33" s="39"/>
      <x:c r="J33" s="39"/>
      <x:c r="K33" s="30"/>
      <x:c r="L33" s="30"/>
      <x:c r="M33" s="38" t="str">
        <x:f>IF(A33="","",K33-L33)</x:f>
      </x:c>
      <x:c r="N33" s="25"/>
      <x:c r="O33" s="25"/>
      <x:c r="P33" s="25"/>
    </x:row>
    <x:row r="34">
      <x:c r="A34" s="25"/>
      <x:c r="B34" s="25"/>
      <x:c r="C34" s="25"/>
      <x:c r="D34" s="39"/>
      <x:c r="E34" s="25"/>
      <x:c r="F34" s="30"/>
      <x:c r="G34" s="30"/>
      <x:c r="H34" s="38" t="str">
        <x:f>IF(A34="","",E34*(F34-G34))</x:f>
      </x:c>
      <x:c r="I34" s="39"/>
      <x:c r="J34" s="39"/>
      <x:c r="K34" s="30"/>
      <x:c r="L34" s="30"/>
      <x:c r="M34" s="38" t="str">
        <x:f>IF(A34="","",K34-L34)</x:f>
      </x:c>
      <x:c r="N34" s="25"/>
      <x:c r="O34" s="25"/>
      <x:c r="P34" s="25"/>
    </x:row>
    <x:row r="35">
      <x:c r="A35" s="25"/>
      <x:c r="B35" s="25"/>
      <x:c r="C35" s="25"/>
      <x:c r="D35" s="39"/>
      <x:c r="E35" s="25"/>
      <x:c r="F35" s="30"/>
      <x:c r="G35" s="30"/>
      <x:c r="H35" s="38" t="str">
        <x:f>IF(A35="","",E35*(F35-G35))</x:f>
      </x:c>
      <x:c r="I35" s="39"/>
      <x:c r="J35" s="39"/>
      <x:c r="K35" s="30"/>
      <x:c r="L35" s="30"/>
      <x:c r="M35" s="38" t="str">
        <x:f>IF(A35="","",K35-L35)</x:f>
      </x:c>
      <x:c r="N35" s="25"/>
      <x:c r="O35" s="25"/>
      <x:c r="P35" s="25"/>
    </x:row>
    <x:row r="36">
      <x:c r="A36" s="25"/>
      <x:c r="B36" s="25"/>
      <x:c r="C36" s="25"/>
      <x:c r="D36" s="39"/>
      <x:c r="E36" s="25"/>
      <x:c r="F36" s="30"/>
      <x:c r="G36" s="30"/>
      <x:c r="H36" s="38" t="str">
        <x:f>IF(A36="","",E36*(F36-G36))</x:f>
      </x:c>
      <x:c r="I36" s="39"/>
      <x:c r="J36" s="39"/>
      <x:c r="K36" s="30"/>
      <x:c r="L36" s="30"/>
      <x:c r="M36" s="38" t="str">
        <x:f>IF(A36="","",K36-L36)</x:f>
      </x:c>
      <x:c r="N36" s="25"/>
      <x:c r="O36" s="25"/>
      <x:c r="P36" s="25"/>
    </x:row>
    <x:row r="37">
      <x:c r="A37" s="25"/>
      <x:c r="B37" s="25"/>
      <x:c r="C37" s="25"/>
      <x:c r="D37" s="39"/>
      <x:c r="E37" s="25"/>
      <x:c r="F37" s="30"/>
      <x:c r="G37" s="30"/>
      <x:c r="H37" s="38" t="str">
        <x:f>IF(A37="","",E37*(F37-G37))</x:f>
      </x:c>
      <x:c r="I37" s="39"/>
      <x:c r="J37" s="39"/>
      <x:c r="K37" s="30"/>
      <x:c r="L37" s="30"/>
      <x:c r="M37" s="38" t="str">
        <x:f>IF(A37="","",K37-L37)</x:f>
      </x:c>
      <x:c r="N37" s="25"/>
      <x:c r="O37" s="25"/>
      <x:c r="P37" s="25"/>
    </x:row>
    <x:row r="38">
      <x:c r="A38" s="25"/>
      <x:c r="B38" s="25"/>
      <x:c r="C38" s="25"/>
      <x:c r="D38" s="39"/>
      <x:c r="E38" s="25"/>
      <x:c r="F38" s="30"/>
      <x:c r="G38" s="30"/>
      <x:c r="H38" s="38" t="str">
        <x:f>IF(A38="","",E38*(F38-G38))</x:f>
      </x:c>
      <x:c r="I38" s="39"/>
      <x:c r="J38" s="39"/>
      <x:c r="K38" s="30"/>
      <x:c r="L38" s="30"/>
      <x:c r="M38" s="38" t="str">
        <x:f>IF(A38="","",K38-L38)</x:f>
      </x:c>
      <x:c r="N38" s="25"/>
      <x:c r="O38" s="25"/>
      <x:c r="P38" s="25"/>
    </x:row>
    <x:row r="39">
      <x:c r="A39" s="25"/>
      <x:c r="B39" s="25"/>
      <x:c r="C39" s="25"/>
      <x:c r="D39" s="39"/>
      <x:c r="E39" s="25"/>
      <x:c r="F39" s="30"/>
      <x:c r="G39" s="30"/>
      <x:c r="H39" s="38" t="str">
        <x:f>IF(A39="","",E39*(F39-G39))</x:f>
      </x:c>
      <x:c r="I39" s="39"/>
      <x:c r="J39" s="39"/>
      <x:c r="K39" s="30"/>
      <x:c r="L39" s="30"/>
      <x:c r="M39" s="38" t="str">
        <x:f>IF(A39="","",K39-L39)</x:f>
      </x:c>
      <x:c r="N39" s="25"/>
      <x:c r="O39" s="25"/>
      <x:c r="P39" s="25"/>
    </x:row>
    <x:row r="40">
      <x:c r="A40" s="25"/>
      <x:c r="B40" s="25"/>
      <x:c r="C40" s="25"/>
      <x:c r="D40" s="39"/>
      <x:c r="E40" s="25"/>
      <x:c r="F40" s="30"/>
      <x:c r="G40" s="30"/>
      <x:c r="H40" s="38" t="str">
        <x:f>IF(A40="","",E40*(F40-G40))</x:f>
      </x:c>
      <x:c r="I40" s="39"/>
      <x:c r="J40" s="39"/>
      <x:c r="K40" s="30"/>
      <x:c r="L40" s="30"/>
      <x:c r="M40" s="38" t="str">
        <x:f>IF(A40="","",K40-L40)</x:f>
      </x:c>
      <x:c r="N40" s="25"/>
      <x:c r="O40" s="25"/>
      <x:c r="P40" s="25"/>
    </x:row>
    <x:row r="41">
      <x:c r="A41" s="25"/>
      <x:c r="B41" s="25"/>
      <x:c r="C41" s="25"/>
      <x:c r="D41" s="39"/>
      <x:c r="E41" s="25"/>
      <x:c r="F41" s="30"/>
      <x:c r="G41" s="30"/>
      <x:c r="H41" s="38" t="str">
        <x:f>IF(A41="","",E41*(F41-G41))</x:f>
      </x:c>
      <x:c r="I41" s="39"/>
      <x:c r="J41" s="39"/>
      <x:c r="K41" s="30"/>
      <x:c r="L41" s="30"/>
      <x:c r="M41" s="38" t="str">
        <x:f>IF(A41="","",K41-L41)</x:f>
      </x:c>
      <x:c r="N41" s="25"/>
      <x:c r="O41" s="25"/>
      <x:c r="P41" s="25"/>
    </x:row>
    <x:row r="42">
      <x:c r="A42" s="25"/>
      <x:c r="B42" s="25"/>
      <x:c r="C42" s="25"/>
      <x:c r="D42" s="39"/>
      <x:c r="E42" s="25"/>
      <x:c r="F42" s="30"/>
      <x:c r="G42" s="30"/>
      <x:c r="H42" s="38" t="str">
        <x:f>IF(A42="","",E42*(F42-G42))</x:f>
      </x:c>
      <x:c r="I42" s="39"/>
      <x:c r="J42" s="39"/>
      <x:c r="K42" s="30"/>
      <x:c r="L42" s="30"/>
      <x:c r="M42" s="38" t="str">
        <x:f>IF(A42="","",K42-L42)</x:f>
      </x:c>
      <x:c r="N42" s="25"/>
      <x:c r="O42" s="25"/>
      <x:c r="P42" s="25"/>
    </x:row>
    <x:row r="43">
      <x:c r="A43" s="25"/>
      <x:c r="B43" s="25"/>
      <x:c r="C43" s="25"/>
      <x:c r="D43" s="39"/>
      <x:c r="E43" s="25"/>
      <x:c r="F43" s="30"/>
      <x:c r="G43" s="30"/>
      <x:c r="H43" s="38" t="str">
        <x:f>IF(A43="","",E43*(F43-G43))</x:f>
      </x:c>
      <x:c r="I43" s="39"/>
      <x:c r="J43" s="39"/>
      <x:c r="K43" s="30"/>
      <x:c r="L43" s="30"/>
      <x:c r="M43" s="38" t="str">
        <x:f>IF(A43="","",K43-L43)</x:f>
      </x:c>
      <x:c r="N43" s="25"/>
      <x:c r="O43" s="25"/>
      <x:c r="P43" s="25"/>
    </x:row>
    <x:row r="44">
      <x:c r="A44" s="25"/>
      <x:c r="B44" s="25"/>
      <x:c r="C44" s="25"/>
      <x:c r="D44" s="39"/>
      <x:c r="E44" s="25"/>
      <x:c r="F44" s="30"/>
      <x:c r="G44" s="30"/>
      <x:c r="H44" s="38" t="str">
        <x:f>IF(A44="","",E44*(F44-G44))</x:f>
      </x:c>
      <x:c r="I44" s="39"/>
      <x:c r="J44" s="39"/>
      <x:c r="K44" s="30"/>
      <x:c r="L44" s="30"/>
      <x:c r="M44" s="38" t="str">
        <x:f>IF(A44="","",K44-L44)</x:f>
      </x:c>
      <x:c r="N44" s="25"/>
      <x:c r="O44" s="25"/>
      <x:c r="P44" s="25"/>
    </x:row>
    <x:row r="45">
      <x:c r="A45" s="25"/>
      <x:c r="B45" s="25"/>
      <x:c r="C45" s="25"/>
      <x:c r="D45" s="39"/>
      <x:c r="E45" s="25"/>
      <x:c r="F45" s="30"/>
      <x:c r="G45" s="30"/>
      <x:c r="H45" s="38" t="str">
        <x:f>IF(A45="","",E45*(F45-G45))</x:f>
      </x:c>
      <x:c r="I45" s="39"/>
      <x:c r="J45" s="39"/>
      <x:c r="K45" s="30"/>
      <x:c r="L45" s="30"/>
      <x:c r="M45" s="38" t="str">
        <x:f>IF(A45="","",K45-L45)</x:f>
      </x:c>
      <x:c r="N45" s="25"/>
      <x:c r="O45" s="25"/>
      <x:c r="P45" s="25"/>
    </x:row>
    <x:row r="46">
      <x:c r="A46" s="25"/>
      <x:c r="B46" s="25"/>
      <x:c r="C46" s="25"/>
      <x:c r="D46" s="39"/>
      <x:c r="E46" s="25"/>
      <x:c r="F46" s="30"/>
      <x:c r="G46" s="30"/>
      <x:c r="H46" s="38" t="str">
        <x:f>IF(A46="","",E46*(F46-G46))</x:f>
      </x:c>
      <x:c r="I46" s="39"/>
      <x:c r="J46" s="39"/>
      <x:c r="K46" s="30"/>
      <x:c r="L46" s="30"/>
      <x:c r="M46" s="38" t="str">
        <x:f>IF(A46="","",K46-L46)</x:f>
      </x:c>
      <x:c r="N46" s="25"/>
      <x:c r="O46" s="25"/>
      <x:c r="P46" s="25"/>
    </x:row>
    <x:row r="47">
      <x:c r="A47" s="25"/>
      <x:c r="B47" s="25"/>
      <x:c r="C47" s="25"/>
      <x:c r="D47" s="39"/>
      <x:c r="E47" s="25"/>
      <x:c r="F47" s="30"/>
      <x:c r="G47" s="30"/>
      <x:c r="H47" s="38" t="str">
        <x:f>IF(A47="","",E47*(F47-G47))</x:f>
      </x:c>
      <x:c r="I47" s="39"/>
      <x:c r="J47" s="39"/>
      <x:c r="K47" s="30"/>
      <x:c r="L47" s="30"/>
      <x:c r="M47" s="38" t="str">
        <x:f>IF(A47="","",K47-L47)</x:f>
      </x:c>
      <x:c r="N47" s="25"/>
      <x:c r="O47" s="25"/>
      <x:c r="P47" s="25"/>
    </x:row>
    <x:row r="48">
      <x:c r="A48" s="25"/>
      <x:c r="B48" s="25"/>
      <x:c r="C48" s="25"/>
      <x:c r="D48" s="39"/>
      <x:c r="E48" s="25"/>
      <x:c r="F48" s="30"/>
      <x:c r="G48" s="30"/>
      <x:c r="H48" s="38" t="str">
        <x:f>IF(A48="","",E48*(F48-G48))</x:f>
      </x:c>
      <x:c r="I48" s="39"/>
      <x:c r="J48" s="39"/>
      <x:c r="K48" s="30"/>
      <x:c r="L48" s="30"/>
      <x:c r="M48" s="38" t="str">
        <x:f>IF(A48="","",K48-L48)</x:f>
      </x:c>
      <x:c r="N48" s="25"/>
      <x:c r="O48" s="25"/>
      <x:c r="P48" s="25"/>
    </x:row>
    <x:row r="49">
      <x:c r="A49" s="25"/>
      <x:c r="B49" s="25"/>
      <x:c r="C49" s="25"/>
      <x:c r="D49" s="39"/>
      <x:c r="E49" s="25"/>
      <x:c r="F49" s="30"/>
      <x:c r="G49" s="30"/>
      <x:c r="H49" s="38" t="str">
        <x:f>IF(A49="","",E49*(F49-G49))</x:f>
      </x:c>
      <x:c r="I49" s="39"/>
      <x:c r="J49" s="39"/>
      <x:c r="K49" s="30"/>
      <x:c r="L49" s="30"/>
      <x:c r="M49" s="38" t="str">
        <x:f>IF(A49="","",K49-L49)</x:f>
      </x:c>
      <x:c r="N49" s="25"/>
      <x:c r="O49" s="25"/>
      <x:c r="P49" s="25"/>
    </x:row>
    <x:row r="50">
      <x:c r="A50" s="25"/>
      <x:c r="B50" s="25"/>
      <x:c r="C50" s="25"/>
      <x:c r="D50" s="39"/>
      <x:c r="E50" s="25"/>
      <x:c r="F50" s="30"/>
      <x:c r="G50" s="30"/>
      <x:c r="H50" s="38" t="str">
        <x:f>IF(A50="","",E50*(F50-G50))</x:f>
      </x:c>
      <x:c r="I50" s="39"/>
      <x:c r="J50" s="39"/>
      <x:c r="K50" s="30"/>
      <x:c r="L50" s="30"/>
      <x:c r="M50" s="38" t="str">
        <x:f>IF(A50="","",K50-L50)</x:f>
      </x:c>
      <x:c r="N50" s="25"/>
      <x:c r="O50" s="25"/>
      <x:c r="P50" s="25"/>
    </x:row>
    <x:row r="51">
      <x:c r="A51" s="25"/>
      <x:c r="B51" s="25"/>
      <x:c r="C51" s="25"/>
      <x:c r="D51" s="39"/>
      <x:c r="E51" s="25"/>
      <x:c r="F51" s="30"/>
      <x:c r="G51" s="30"/>
      <x:c r="H51" s="38" t="str">
        <x:f>IF(A51="","",E51*(F51-G51))</x:f>
      </x:c>
      <x:c r="I51" s="39"/>
      <x:c r="J51" s="39"/>
      <x:c r="K51" s="30"/>
      <x:c r="L51" s="30"/>
      <x:c r="M51" s="38" t="str">
        <x:f>IF(A51="","",K51-L51)</x:f>
      </x:c>
      <x:c r="N51" s="25"/>
      <x:c r="O51" s="25"/>
      <x:c r="P51" s="25"/>
    </x:row>
    <x:row r="52">
      <x:c r="A52" s="25"/>
      <x:c r="B52" s="25"/>
      <x:c r="C52" s="25"/>
      <x:c r="D52" s="39"/>
      <x:c r="E52" s="25"/>
      <x:c r="F52" s="30"/>
      <x:c r="G52" s="30"/>
      <x:c r="H52" s="38" t="str">
        <x:f>IF(A52="","",E52*(F52-G52))</x:f>
      </x:c>
      <x:c r="I52" s="39"/>
      <x:c r="J52" s="39"/>
      <x:c r="K52" s="30"/>
      <x:c r="L52" s="30"/>
      <x:c r="M52" s="38" t="str">
        <x:f>IF(A52="","",K52-L52)</x:f>
      </x:c>
      <x:c r="N52" s="25"/>
      <x:c r="O52" s="25"/>
      <x:c r="P52" s="25"/>
    </x:row>
    <x:row r="53">
      <x:c r="A53" s="25"/>
      <x:c r="B53" s="25"/>
      <x:c r="C53" s="25"/>
      <x:c r="D53" s="39"/>
      <x:c r="E53" s="25"/>
      <x:c r="F53" s="30"/>
      <x:c r="G53" s="30"/>
      <x:c r="H53" s="38" t="str">
        <x:f>IF(A53="","",E53*(F53-G53))</x:f>
      </x:c>
      <x:c r="I53" s="39"/>
      <x:c r="J53" s="39"/>
      <x:c r="K53" s="30"/>
      <x:c r="L53" s="30"/>
      <x:c r="M53" s="38" t="str">
        <x:f>IF(A53="","",K53-L53)</x:f>
      </x:c>
      <x:c r="N53" s="25"/>
      <x:c r="O53" s="25"/>
      <x:c r="P53" s="25"/>
    </x:row>
    <x:row r="54">
      <x:c r="A54" s="25"/>
      <x:c r="B54" s="25"/>
      <x:c r="C54" s="25"/>
      <x:c r="D54" s="39"/>
      <x:c r="E54" s="25"/>
      <x:c r="F54" s="30"/>
      <x:c r="G54" s="30"/>
      <x:c r="H54" s="38" t="str">
        <x:f>IF(A54="","",E54*(F54-G54))</x:f>
      </x:c>
      <x:c r="I54" s="39"/>
      <x:c r="J54" s="39"/>
      <x:c r="K54" s="30"/>
      <x:c r="L54" s="30"/>
      <x:c r="M54" s="38" t="str">
        <x:f>IF(A54="","",K54-L54)</x:f>
      </x:c>
      <x:c r="N54" s="25"/>
      <x:c r="O54" s="25"/>
      <x:c r="P54" s="25"/>
    </x:row>
    <x:row r="55">
      <x:c r="A55" s="25"/>
      <x:c r="B55" s="25"/>
      <x:c r="C55" s="25"/>
      <x:c r="D55" s="39"/>
      <x:c r="E55" s="25"/>
      <x:c r="F55" s="30"/>
      <x:c r="G55" s="30"/>
      <x:c r="H55" s="38" t="str">
        <x:f>IF(A55="","",E55*(F55-G55))</x:f>
      </x:c>
      <x:c r="I55" s="39"/>
      <x:c r="J55" s="39"/>
      <x:c r="K55" s="30"/>
      <x:c r="L55" s="30"/>
      <x:c r="M55" s="38" t="str">
        <x:f>IF(A55="","",K55-L55)</x:f>
      </x:c>
      <x:c r="N55" s="25"/>
      <x:c r="O55" s="25"/>
      <x:c r="P55" s="25"/>
    </x:row>
    <x:row r="56">
      <x:c r="A56" s="25"/>
      <x:c r="B56" s="25"/>
      <x:c r="C56" s="25"/>
      <x:c r="D56" s="39"/>
      <x:c r="E56" s="25"/>
      <x:c r="F56" s="30"/>
      <x:c r="G56" s="30"/>
      <x:c r="H56" s="38" t="str">
        <x:f>IF(A56="","",E56*(F56-G56))</x:f>
      </x:c>
      <x:c r="I56" s="39"/>
      <x:c r="J56" s="39"/>
      <x:c r="K56" s="30"/>
      <x:c r="L56" s="30"/>
      <x:c r="M56" s="38" t="str">
        <x:f>IF(A56="","",K56-L56)</x:f>
      </x:c>
      <x:c r="N56" s="25"/>
      <x:c r="O56" s="25"/>
      <x:c r="P56" s="25"/>
    </x:row>
    <x:row r="57">
      <x:c r="A57" s="25"/>
      <x:c r="B57" s="25"/>
      <x:c r="C57" s="25"/>
      <x:c r="D57" s="39"/>
      <x:c r="E57" s="25"/>
      <x:c r="F57" s="30"/>
      <x:c r="G57" s="30"/>
      <x:c r="H57" s="38" t="str">
        <x:f>IF(A57="","",E57*(F57-G57))</x:f>
      </x:c>
      <x:c r="I57" s="39"/>
      <x:c r="J57" s="39"/>
      <x:c r="K57" s="30"/>
      <x:c r="L57" s="30"/>
      <x:c r="M57" s="38" t="str">
        <x:f>IF(A57="","",K57-L57)</x:f>
      </x:c>
      <x:c r="N57" s="25"/>
      <x:c r="O57" s="25"/>
      <x:c r="P57" s="25"/>
    </x:row>
    <x:row r="58">
      <x:c r="A58" s="25"/>
      <x:c r="B58" s="25"/>
      <x:c r="C58" s="25"/>
      <x:c r="D58" s="39"/>
      <x:c r="E58" s="25"/>
      <x:c r="F58" s="30"/>
      <x:c r="G58" s="30"/>
      <x:c r="H58" s="38" t="str">
        <x:f>IF(A58="","",E58*(F58-G58))</x:f>
      </x:c>
      <x:c r="I58" s="39"/>
      <x:c r="J58" s="39"/>
      <x:c r="K58" s="30"/>
      <x:c r="L58" s="30"/>
      <x:c r="M58" s="38" t="str">
        <x:f>IF(A58="","",K58-L58)</x:f>
      </x:c>
      <x:c r="N58" s="25"/>
      <x:c r="O58" s="25"/>
      <x:c r="P58" s="25"/>
    </x:row>
    <x:row r="59">
      <x:c r="A59" s="25"/>
      <x:c r="B59" s="25"/>
      <x:c r="C59" s="25"/>
      <x:c r="D59" s="39"/>
      <x:c r="E59" s="25"/>
      <x:c r="F59" s="30"/>
      <x:c r="G59" s="30"/>
      <x:c r="H59" s="38" t="str">
        <x:f>IF(A59="","",E59*(F59-G59))</x:f>
      </x:c>
      <x:c r="I59" s="39"/>
      <x:c r="J59" s="39"/>
      <x:c r="K59" s="30"/>
      <x:c r="L59" s="30"/>
      <x:c r="M59" s="38" t="str">
        <x:f>IF(A59="","",K59-L59)</x:f>
      </x:c>
      <x:c r="N59" s="25"/>
      <x:c r="O59" s="25"/>
      <x:c r="P59" s="25"/>
    </x:row>
    <x:row r="60">
      <x:c r="A60" s="25"/>
      <x:c r="B60" s="25"/>
      <x:c r="C60" s="25"/>
      <x:c r="D60" s="39"/>
      <x:c r="E60" s="25"/>
      <x:c r="F60" s="30"/>
      <x:c r="G60" s="30"/>
      <x:c r="H60" s="38" t="str">
        <x:f>IF(A60="","",E60*(F60-G60))</x:f>
      </x:c>
      <x:c r="I60" s="39"/>
      <x:c r="J60" s="39"/>
      <x:c r="K60" s="30"/>
      <x:c r="L60" s="30"/>
      <x:c r="M60" s="38" t="str">
        <x:f>IF(A60="","",K60-L60)</x:f>
      </x:c>
      <x:c r="N60" s="25"/>
      <x:c r="O60" s="25"/>
      <x:c r="P60" s="25"/>
    </x:row>
    <x:row r="61">
      <x:c r="A61" s="25"/>
      <x:c r="B61" s="25"/>
      <x:c r="C61" s="25"/>
      <x:c r="D61" s="39"/>
      <x:c r="E61" s="25"/>
      <x:c r="F61" s="30"/>
      <x:c r="G61" s="30"/>
      <x:c r="H61" s="38" t="str">
        <x:f>IF(A61="","",E61*(F61-G61))</x:f>
      </x:c>
      <x:c r="I61" s="39"/>
      <x:c r="J61" s="39"/>
      <x:c r="K61" s="30"/>
      <x:c r="L61" s="30"/>
      <x:c r="M61" s="38" t="str">
        <x:f>IF(A61="","",K61-L61)</x:f>
      </x:c>
      <x:c r="N61" s="25"/>
      <x:c r="O61" s="25"/>
      <x:c r="P61" s="25"/>
    </x:row>
    <x:row r="62">
      <x:c r="A62" s="25"/>
      <x:c r="B62" s="25"/>
      <x:c r="C62" s="25"/>
      <x:c r="D62" s="39"/>
      <x:c r="E62" s="25"/>
      <x:c r="F62" s="30"/>
      <x:c r="G62" s="30"/>
      <x:c r="H62" s="38" t="str">
        <x:f>IF(A62="","",E62*(F62-G62))</x:f>
      </x:c>
      <x:c r="I62" s="39"/>
      <x:c r="J62" s="39"/>
      <x:c r="K62" s="30"/>
      <x:c r="L62" s="30"/>
      <x:c r="M62" s="38" t="str">
        <x:f>IF(A62="","",K62-L62)</x:f>
      </x:c>
      <x:c r="N62" s="25"/>
      <x:c r="O62" s="25"/>
      <x:c r="P62" s="25"/>
    </x:row>
    <x:row r="63">
      <x:c r="A63" s="25"/>
      <x:c r="B63" s="25"/>
      <x:c r="C63" s="25"/>
      <x:c r="D63" s="39"/>
      <x:c r="E63" s="25"/>
      <x:c r="F63" s="30"/>
      <x:c r="G63" s="30"/>
      <x:c r="H63" s="38" t="str">
        <x:f>IF(A63="","",E63*(F63-G63))</x:f>
      </x:c>
      <x:c r="I63" s="39"/>
      <x:c r="J63" s="39"/>
      <x:c r="K63" s="30"/>
      <x:c r="L63" s="30"/>
      <x:c r="M63" s="38" t="str">
        <x:f>IF(A63="","",K63-L63)</x:f>
      </x:c>
      <x:c r="N63" s="25"/>
      <x:c r="O63" s="25"/>
      <x:c r="P63" s="25"/>
    </x:row>
    <x:row r="64">
      <x:c r="A64" s="25"/>
      <x:c r="B64" s="25"/>
      <x:c r="C64" s="25"/>
      <x:c r="D64" s="39"/>
      <x:c r="E64" s="25"/>
      <x:c r="F64" s="30"/>
      <x:c r="G64" s="30"/>
      <x:c r="H64" s="38" t="str">
        <x:f>IF(A64="","",E64*(F64-G64))</x:f>
      </x:c>
      <x:c r="I64" s="39"/>
      <x:c r="J64" s="39"/>
      <x:c r="K64" s="30"/>
      <x:c r="L64" s="30"/>
      <x:c r="M64" s="38" t="str">
        <x:f>IF(A64="","",K64-L64)</x:f>
      </x:c>
      <x:c r="N64" s="25"/>
      <x:c r="O64" s="25"/>
      <x:c r="P64" s="25"/>
    </x:row>
    <x:row r="65">
      <x:c r="A65" s="25"/>
      <x:c r="B65" s="25"/>
      <x:c r="C65" s="25"/>
      <x:c r="D65" s="39"/>
      <x:c r="E65" s="25"/>
      <x:c r="F65" s="30"/>
      <x:c r="G65" s="30"/>
      <x:c r="H65" s="38" t="str">
        <x:f>IF(A65="","",E65*(F65-G65))</x:f>
      </x:c>
      <x:c r="I65" s="39"/>
      <x:c r="J65" s="39"/>
      <x:c r="K65" s="30"/>
      <x:c r="L65" s="30"/>
      <x:c r="M65" s="38" t="str">
        <x:f>IF(A65="","",K65-L65)</x:f>
      </x:c>
      <x:c r="N65" s="25"/>
      <x:c r="O65" s="25"/>
      <x:c r="P65" s="25"/>
    </x:row>
    <x:row r="66">
      <x:c r="A66" s="25"/>
      <x:c r="B66" s="25"/>
      <x:c r="C66" s="25"/>
      <x:c r="D66" s="39"/>
      <x:c r="E66" s="25"/>
      <x:c r="F66" s="30"/>
      <x:c r="G66" s="30"/>
      <x:c r="H66" s="38" t="str">
        <x:f>IF(A66="","",E66*(F66-G66))</x:f>
      </x:c>
      <x:c r="I66" s="39"/>
      <x:c r="J66" s="39"/>
      <x:c r="K66" s="30"/>
      <x:c r="L66" s="30"/>
      <x:c r="M66" s="38" t="str">
        <x:f>IF(A66="","",K66-L66)</x:f>
      </x:c>
      <x:c r="N66" s="25"/>
      <x:c r="O66" s="25"/>
      <x:c r="P66" s="25"/>
    </x:row>
    <x:row r="67">
      <x:c r="A67" s="25"/>
      <x:c r="B67" s="25"/>
      <x:c r="C67" s="25"/>
      <x:c r="D67" s="39"/>
      <x:c r="E67" s="25"/>
      <x:c r="F67" s="30"/>
      <x:c r="G67" s="30"/>
      <x:c r="H67" s="38" t="str">
        <x:f>IF(A67="","",E67*(F67-G67))</x:f>
      </x:c>
      <x:c r="I67" s="39"/>
      <x:c r="J67" s="39"/>
      <x:c r="K67" s="30"/>
      <x:c r="L67" s="30"/>
      <x:c r="M67" s="38" t="str">
        <x:f>IF(A67="","",K67-L67)</x:f>
      </x:c>
      <x:c r="N67" s="25"/>
      <x:c r="O67" s="25"/>
      <x:c r="P67" s="25"/>
    </x:row>
    <x:row r="68">
      <x:c r="A68" s="25"/>
      <x:c r="B68" s="25"/>
      <x:c r="C68" s="25"/>
      <x:c r="D68" s="39"/>
      <x:c r="E68" s="25"/>
      <x:c r="F68" s="30"/>
      <x:c r="G68" s="30"/>
      <x:c r="H68" s="38" t="str">
        <x:f>IF(A68="","",E68*(F68-G68))</x:f>
      </x:c>
      <x:c r="I68" s="39"/>
      <x:c r="J68" s="39"/>
      <x:c r="K68" s="30"/>
      <x:c r="L68" s="30"/>
      <x:c r="M68" s="38" t="str">
        <x:f>IF(A68="","",K68-L68)</x:f>
      </x:c>
      <x:c r="N68" s="25"/>
      <x:c r="O68" s="25"/>
      <x:c r="P68" s="25"/>
    </x:row>
    <x:row r="69">
      <x:c r="A69" s="25"/>
      <x:c r="B69" s="25"/>
      <x:c r="C69" s="25"/>
      <x:c r="D69" s="39"/>
      <x:c r="E69" s="25"/>
      <x:c r="F69" s="30"/>
      <x:c r="G69" s="30"/>
      <x:c r="H69" s="38" t="str">
        <x:f>IF(A69="","",E69*(F69-G69))</x:f>
      </x:c>
      <x:c r="I69" s="39"/>
      <x:c r="J69" s="39"/>
      <x:c r="K69" s="30"/>
      <x:c r="L69" s="30"/>
      <x:c r="M69" s="38" t="str">
        <x:f>IF(A69="","",K69-L69)</x:f>
      </x:c>
      <x:c r="N69" s="25"/>
      <x:c r="O69" s="25"/>
      <x:c r="P69" s="25"/>
    </x:row>
    <x:row r="70">
      <x:c r="A70" s="25"/>
      <x:c r="B70" s="25"/>
      <x:c r="C70" s="25"/>
      <x:c r="D70" s="39"/>
      <x:c r="E70" s="25"/>
      <x:c r="F70" s="30"/>
      <x:c r="G70" s="30"/>
      <x:c r="H70" s="38" t="str">
        <x:f>IF(A70="","",E70*(F70-G70))</x:f>
      </x:c>
      <x:c r="I70" s="39"/>
      <x:c r="J70" s="39"/>
      <x:c r="K70" s="30"/>
      <x:c r="L70" s="30"/>
      <x:c r="M70" s="38" t="str">
        <x:f>IF(A70="","",K70-L70)</x:f>
      </x:c>
      <x:c r="N70" s="25"/>
      <x:c r="O70" s="25"/>
      <x:c r="P70" s="25"/>
    </x:row>
    <x:row r="71">
      <x:c r="A71" s="25"/>
      <x:c r="B71" s="25"/>
      <x:c r="C71" s="25"/>
      <x:c r="D71" s="39"/>
      <x:c r="E71" s="25"/>
      <x:c r="F71" s="30"/>
      <x:c r="G71" s="30"/>
      <x:c r="H71" s="38" t="str">
        <x:f>IF(A71="","",E71*(F71-G71))</x:f>
      </x:c>
      <x:c r="I71" s="39"/>
      <x:c r="J71" s="39"/>
      <x:c r="K71" s="30"/>
      <x:c r="L71" s="30"/>
      <x:c r="M71" s="38" t="str">
        <x:f>IF(A71="","",K71-L71)</x:f>
      </x:c>
      <x:c r="N71" s="25"/>
      <x:c r="O71" s="25"/>
      <x:c r="P71" s="25"/>
    </x:row>
    <x:row r="72">
      <x:c r="A72" s="25"/>
      <x:c r="B72" s="25"/>
      <x:c r="C72" s="25"/>
      <x:c r="D72" s="39"/>
      <x:c r="E72" s="25"/>
      <x:c r="F72" s="30"/>
      <x:c r="G72" s="30"/>
      <x:c r="H72" s="38" t="str">
        <x:f>IF(A72="","",E72*(F72-G72))</x:f>
      </x:c>
      <x:c r="I72" s="39"/>
      <x:c r="J72" s="39"/>
      <x:c r="K72" s="30"/>
      <x:c r="L72" s="30"/>
      <x:c r="M72" s="38" t="str">
        <x:f>IF(A72="","",K72-L72)</x:f>
      </x:c>
      <x:c r="N72" s="25"/>
      <x:c r="O72" s="25"/>
      <x:c r="P72" s="25"/>
    </x:row>
    <x:row r="73">
      <x:c r="A73" s="25"/>
      <x:c r="B73" s="25"/>
      <x:c r="C73" s="25"/>
      <x:c r="D73" s="39"/>
      <x:c r="E73" s="25"/>
      <x:c r="F73" s="30"/>
      <x:c r="G73" s="30"/>
      <x:c r="H73" s="38" t="str">
        <x:f>IF(A73="","",E73*(F73-G73))</x:f>
      </x:c>
      <x:c r="I73" s="39"/>
      <x:c r="J73" s="39"/>
      <x:c r="K73" s="30"/>
      <x:c r="L73" s="30"/>
      <x:c r="M73" s="38" t="str">
        <x:f>IF(A73="","",K73-L73)</x:f>
      </x:c>
      <x:c r="N73" s="25"/>
      <x:c r="O73" s="25"/>
      <x:c r="P73" s="25"/>
    </x:row>
    <x:row r="74">
      <x:c r="A74" s="25"/>
      <x:c r="B74" s="25"/>
      <x:c r="C74" s="25"/>
      <x:c r="D74" s="39"/>
      <x:c r="E74" s="25"/>
      <x:c r="F74" s="30"/>
      <x:c r="G74" s="30"/>
      <x:c r="H74" s="38" t="str">
        <x:f>IF(A74="","",E74*(F74-G74))</x:f>
      </x:c>
      <x:c r="I74" s="39"/>
      <x:c r="J74" s="39"/>
      <x:c r="K74" s="30"/>
      <x:c r="L74" s="30"/>
      <x:c r="M74" s="38" t="str">
        <x:f>IF(A74="","",K74-L74)</x:f>
      </x:c>
      <x:c r="N74" s="25"/>
      <x:c r="O74" s="25"/>
      <x:c r="P74" s="25"/>
    </x:row>
    <x:row r="75">
      <x:c r="A75" s="25"/>
      <x:c r="B75" s="25"/>
      <x:c r="C75" s="25"/>
      <x:c r="D75" s="39"/>
      <x:c r="E75" s="25"/>
      <x:c r="F75" s="30"/>
      <x:c r="G75" s="30"/>
      <x:c r="H75" s="38" t="str">
        <x:f>IF(A75="","",E75*(F75-G75))</x:f>
      </x:c>
      <x:c r="I75" s="39"/>
      <x:c r="J75" s="39"/>
      <x:c r="K75" s="30"/>
      <x:c r="L75" s="30"/>
      <x:c r="M75" s="38" t="str">
        <x:f>IF(A75="","",K75-L75)</x:f>
      </x:c>
      <x:c r="N75" s="25"/>
      <x:c r="O75" s="25"/>
      <x:c r="P75" s="25"/>
    </x:row>
    <x:row r="76">
      <x:c r="A76" s="25"/>
      <x:c r="B76" s="25"/>
      <x:c r="C76" s="25"/>
      <x:c r="D76" s="39"/>
      <x:c r="E76" s="25"/>
      <x:c r="F76" s="30"/>
      <x:c r="G76" s="30"/>
      <x:c r="H76" s="38" t="str">
        <x:f>IF(A76="","",E76*(F76-G76))</x:f>
      </x:c>
      <x:c r="I76" s="39"/>
      <x:c r="J76" s="39"/>
      <x:c r="K76" s="30"/>
      <x:c r="L76" s="30"/>
      <x:c r="M76" s="38" t="str">
        <x:f>IF(A76="","",K76-L76)</x:f>
      </x:c>
      <x:c r="N76" s="25"/>
      <x:c r="O76" s="25"/>
      <x:c r="P76" s="25"/>
    </x:row>
    <x:row r="77">
      <x:c r="A77" s="25"/>
      <x:c r="B77" s="25"/>
      <x:c r="C77" s="25"/>
      <x:c r="D77" s="39"/>
      <x:c r="E77" s="25"/>
      <x:c r="F77" s="30"/>
      <x:c r="G77" s="30"/>
      <x:c r="H77" s="38" t="str">
        <x:f>IF(A77="","",E77*(F77-G77))</x:f>
      </x:c>
      <x:c r="I77" s="39"/>
      <x:c r="J77" s="39"/>
      <x:c r="K77" s="30"/>
      <x:c r="L77" s="30"/>
      <x:c r="M77" s="38" t="str">
        <x:f>IF(A77="","",K77-L77)</x:f>
      </x:c>
      <x:c r="N77" s="25"/>
      <x:c r="O77" s="25"/>
      <x:c r="P77" s="25"/>
    </x:row>
    <x:row r="78">
      <x:c r="A78" s="25"/>
      <x:c r="B78" s="25"/>
      <x:c r="C78" s="25"/>
      <x:c r="D78" s="39"/>
      <x:c r="E78" s="25"/>
      <x:c r="F78" s="30"/>
      <x:c r="G78" s="30"/>
      <x:c r="H78" s="38" t="str">
        <x:f>IF(A78="","",E78*(F78-G78))</x:f>
      </x:c>
      <x:c r="I78" s="39"/>
      <x:c r="J78" s="39"/>
      <x:c r="K78" s="30"/>
      <x:c r="L78" s="30"/>
      <x:c r="M78" s="38" t="str">
        <x:f>IF(A78="","",K78-L78)</x:f>
      </x:c>
      <x:c r="N78" s="25"/>
      <x:c r="O78" s="25"/>
      <x:c r="P78" s="25"/>
    </x:row>
    <x:row r="79">
      <x:c r="A79" s="25"/>
      <x:c r="B79" s="25"/>
      <x:c r="C79" s="25"/>
      <x:c r="D79" s="39"/>
      <x:c r="E79" s="25"/>
      <x:c r="F79" s="30"/>
      <x:c r="G79" s="30"/>
      <x:c r="H79" s="38" t="str">
        <x:f>IF(A79="","",E79*(F79-G79))</x:f>
      </x:c>
      <x:c r="I79" s="39"/>
      <x:c r="J79" s="39"/>
      <x:c r="K79" s="30"/>
      <x:c r="L79" s="30"/>
      <x:c r="M79" s="38" t="str">
        <x:f>IF(A79="","",K79-L79)</x:f>
      </x:c>
      <x:c r="N79" s="25"/>
      <x:c r="O79" s="25"/>
      <x:c r="P79" s="25"/>
    </x:row>
    <x:row r="80">
      <x:c r="A80" s="25"/>
      <x:c r="B80" s="25"/>
      <x:c r="C80" s="25"/>
      <x:c r="D80" s="39"/>
      <x:c r="E80" s="25"/>
      <x:c r="F80" s="30"/>
      <x:c r="G80" s="30"/>
      <x:c r="H80" s="38" t="str">
        <x:f>IF(A80="","",E80*(F80-G80))</x:f>
      </x:c>
      <x:c r="I80" s="39"/>
      <x:c r="J80" s="39"/>
      <x:c r="K80" s="30"/>
      <x:c r="L80" s="30"/>
      <x:c r="M80" s="38" t="str">
        <x:f>IF(A80="","",K80-L80)</x:f>
      </x:c>
      <x:c r="N80" s="25"/>
      <x:c r="O80" s="25"/>
      <x:c r="P80" s="25"/>
    </x:row>
    <x:row r="81">
      <x:c r="A81" s="25"/>
      <x:c r="B81" s="25"/>
      <x:c r="C81" s="25"/>
      <x:c r="D81" s="39"/>
      <x:c r="E81" s="25"/>
      <x:c r="F81" s="30"/>
      <x:c r="G81" s="30"/>
      <x:c r="H81" s="38" t="str">
        <x:f>IF(A81="","",E81*(F81-G81))</x:f>
      </x:c>
      <x:c r="I81" s="39"/>
      <x:c r="J81" s="39"/>
      <x:c r="K81" s="30"/>
      <x:c r="L81" s="30"/>
      <x:c r="M81" s="38" t="str">
        <x:f>IF(A81="","",K81-L81)</x:f>
      </x:c>
      <x:c r="N81" s="25"/>
      <x:c r="O81" s="25"/>
      <x:c r="P81" s="25"/>
    </x:row>
    <x:row r="82">
      <x:c r="A82" s="25"/>
      <x:c r="B82" s="25"/>
      <x:c r="C82" s="25"/>
      <x:c r="D82" s="39"/>
      <x:c r="E82" s="25"/>
      <x:c r="F82" s="30"/>
      <x:c r="G82" s="30"/>
      <x:c r="H82" s="38" t="str">
        <x:f>IF(A82="","",E82*(F82-G82))</x:f>
      </x:c>
      <x:c r="I82" s="39"/>
      <x:c r="J82" s="39"/>
      <x:c r="K82" s="30"/>
      <x:c r="L82" s="30"/>
      <x:c r="M82" s="38" t="str">
        <x:f>IF(A82="","",K82-L82)</x:f>
      </x:c>
      <x:c r="N82" s="25"/>
      <x:c r="O82" s="25"/>
      <x:c r="P82" s="25"/>
    </x:row>
    <x:row r="83">
      <x:c r="A83" s="25"/>
      <x:c r="B83" s="25"/>
      <x:c r="C83" s="25"/>
      <x:c r="D83" s="39"/>
      <x:c r="E83" s="25"/>
      <x:c r="F83" s="30"/>
      <x:c r="G83" s="30"/>
      <x:c r="H83" s="38" t="str">
        <x:f>IF(A83="","",E83*(F83-G83))</x:f>
      </x:c>
      <x:c r="I83" s="39"/>
      <x:c r="J83" s="39"/>
      <x:c r="K83" s="30"/>
      <x:c r="L83" s="30"/>
      <x:c r="M83" s="38" t="str">
        <x:f>IF(A83="","",K83-L83)</x:f>
      </x:c>
      <x:c r="N83" s="25"/>
      <x:c r="O83" s="25"/>
      <x:c r="P83" s="25"/>
    </x:row>
    <x:row r="84">
      <x:c r="A84" s="25"/>
      <x:c r="B84" s="25"/>
      <x:c r="C84" s="25"/>
      <x:c r="D84" s="39"/>
      <x:c r="E84" s="25"/>
      <x:c r="F84" s="30"/>
      <x:c r="G84" s="30"/>
      <x:c r="H84" s="38" t="str">
        <x:f>IF(A84="","",E84*(F84-G84))</x:f>
      </x:c>
      <x:c r="I84" s="39"/>
      <x:c r="J84" s="39"/>
      <x:c r="K84" s="30"/>
      <x:c r="L84" s="30"/>
      <x:c r="M84" s="38" t="str">
        <x:f>IF(A84="","",K84-L84)</x:f>
      </x:c>
      <x:c r="N84" s="25"/>
      <x:c r="O84" s="25"/>
      <x:c r="P84" s="25"/>
    </x:row>
    <x:row r="85">
      <x:c r="A85" s="25"/>
      <x:c r="B85" s="25"/>
      <x:c r="C85" s="25"/>
      <x:c r="D85" s="39"/>
      <x:c r="E85" s="25"/>
      <x:c r="F85" s="30"/>
      <x:c r="G85" s="30"/>
      <x:c r="H85" s="38" t="str">
        <x:f>IF(A85="","",E85*(F85-G85))</x:f>
      </x:c>
      <x:c r="I85" s="39"/>
      <x:c r="J85" s="39"/>
      <x:c r="K85" s="30"/>
      <x:c r="L85" s="30"/>
      <x:c r="M85" s="38" t="str">
        <x:f>IF(A85="","",K85-L85)</x:f>
      </x:c>
      <x:c r="N85" s="25"/>
      <x:c r="O85" s="25"/>
      <x:c r="P85" s="25"/>
    </x:row>
    <x:row r="86">
      <x:c r="A86" s="25"/>
      <x:c r="B86" s="25"/>
      <x:c r="C86" s="25"/>
      <x:c r="D86" s="39"/>
      <x:c r="E86" s="25"/>
      <x:c r="F86" s="30"/>
      <x:c r="G86" s="30"/>
      <x:c r="H86" s="38" t="str">
        <x:f>IF(A86="","",E86*(F86-G86))</x:f>
      </x:c>
      <x:c r="I86" s="39"/>
      <x:c r="J86" s="39"/>
      <x:c r="K86" s="30"/>
      <x:c r="L86" s="30"/>
      <x:c r="M86" s="38" t="str">
        <x:f>IF(A86="","",K86-L86)</x:f>
      </x:c>
      <x:c r="N86" s="25"/>
      <x:c r="O86" s="25"/>
      <x:c r="P86" s="25"/>
    </x:row>
    <x:row r="87">
      <x:c r="A87" s="25"/>
      <x:c r="B87" s="25"/>
      <x:c r="C87" s="25"/>
      <x:c r="D87" s="39"/>
      <x:c r="E87" s="25"/>
      <x:c r="F87" s="30"/>
      <x:c r="G87" s="30"/>
      <x:c r="H87" s="38" t="str">
        <x:f>IF(A87="","",E87*(F87-G87))</x:f>
      </x:c>
      <x:c r="I87" s="39"/>
      <x:c r="J87" s="39"/>
      <x:c r="K87" s="30"/>
      <x:c r="L87" s="30"/>
      <x:c r="M87" s="38" t="str">
        <x:f>IF(A87="","",K87-L87)</x:f>
      </x:c>
      <x:c r="N87" s="25"/>
      <x:c r="O87" s="25"/>
      <x:c r="P87" s="25"/>
    </x:row>
    <x:row r="88">
      <x:c r="A88" s="25"/>
      <x:c r="B88" s="25"/>
      <x:c r="C88" s="25"/>
      <x:c r="D88" s="39"/>
      <x:c r="E88" s="25"/>
      <x:c r="F88" s="30"/>
      <x:c r="G88" s="30"/>
      <x:c r="H88" s="38" t="str">
        <x:f>IF(A88="","",E88*(F88-G88))</x:f>
      </x:c>
      <x:c r="I88" s="39"/>
      <x:c r="J88" s="39"/>
      <x:c r="K88" s="30"/>
      <x:c r="L88" s="30"/>
      <x:c r="M88" s="38" t="str">
        <x:f>IF(A88="","",K88-L88)</x:f>
      </x:c>
      <x:c r="N88" s="25"/>
      <x:c r="O88" s="25"/>
      <x:c r="P88" s="25"/>
    </x:row>
    <x:row r="89">
      <x:c r="A89" s="25"/>
      <x:c r="B89" s="25"/>
      <x:c r="C89" s="25"/>
      <x:c r="D89" s="39"/>
      <x:c r="E89" s="25"/>
      <x:c r="F89" s="30"/>
      <x:c r="G89" s="30"/>
      <x:c r="H89" s="38" t="str">
        <x:f>IF(A89="","",E89*(F89-G89))</x:f>
      </x:c>
      <x:c r="I89" s="39"/>
      <x:c r="J89" s="39"/>
      <x:c r="K89" s="30"/>
      <x:c r="L89" s="30"/>
      <x:c r="M89" s="38" t="str">
        <x:f>IF(A89="","",K89-L89)</x:f>
      </x:c>
      <x:c r="N89" s="25"/>
      <x:c r="O89" s="25"/>
      <x:c r="P89" s="25"/>
    </x:row>
    <x:row r="90">
      <x:c r="A90" s="25"/>
      <x:c r="B90" s="25"/>
      <x:c r="C90" s="25"/>
      <x:c r="D90" s="39"/>
      <x:c r="E90" s="25"/>
      <x:c r="F90" s="30"/>
      <x:c r="G90" s="30"/>
      <x:c r="H90" s="38" t="str">
        <x:f>IF(A90="","",E90*(F90-G90))</x:f>
      </x:c>
      <x:c r="I90" s="39"/>
      <x:c r="J90" s="39"/>
      <x:c r="K90" s="30"/>
      <x:c r="L90" s="30"/>
      <x:c r="M90" s="38" t="str">
        <x:f>IF(A90="","",K90-L90)</x:f>
      </x:c>
      <x:c r="N90" s="25"/>
      <x:c r="O90" s="25"/>
      <x:c r="P90" s="25"/>
    </x:row>
    <x:row r="91">
      <x:c r="A91" s="25"/>
      <x:c r="B91" s="25"/>
      <x:c r="C91" s="25"/>
      <x:c r="D91" s="39"/>
      <x:c r="E91" s="25"/>
      <x:c r="F91" s="30"/>
      <x:c r="G91" s="30"/>
      <x:c r="H91" s="38" t="str">
        <x:f>IF(A91="","",E91*(F91-G91))</x:f>
      </x:c>
      <x:c r="I91" s="39"/>
      <x:c r="J91" s="39"/>
      <x:c r="K91" s="30"/>
      <x:c r="L91" s="30"/>
      <x:c r="M91" s="38" t="str">
        <x:f>IF(A91="","",K91-L91)</x:f>
      </x:c>
      <x:c r="N91" s="25"/>
      <x:c r="O91" s="25"/>
      <x:c r="P91" s="25"/>
    </x:row>
    <x:row r="92">
      <x:c r="A92" s="25"/>
      <x:c r="B92" s="25"/>
      <x:c r="C92" s="25"/>
      <x:c r="D92" s="39"/>
      <x:c r="E92" s="25"/>
      <x:c r="F92" s="30"/>
      <x:c r="G92" s="30"/>
      <x:c r="H92" s="38" t="str">
        <x:f>IF(A92="","",E92*(F92-G92))</x:f>
      </x:c>
      <x:c r="I92" s="39"/>
      <x:c r="J92" s="39"/>
      <x:c r="K92" s="30"/>
      <x:c r="L92" s="30"/>
      <x:c r="M92" s="38" t="str">
        <x:f>IF(A92="","",K92-L92)</x:f>
      </x:c>
      <x:c r="N92" s="25"/>
      <x:c r="O92" s="25"/>
      <x:c r="P92" s="25"/>
    </x:row>
    <x:row r="93">
      <x:c r="A93" s="25"/>
      <x:c r="B93" s="25"/>
      <x:c r="C93" s="25"/>
      <x:c r="D93" s="39"/>
      <x:c r="E93" s="25"/>
      <x:c r="F93" s="30"/>
      <x:c r="G93" s="30"/>
      <x:c r="H93" s="38" t="str">
        <x:f>IF(A93="","",E93*(F93-G93))</x:f>
      </x:c>
      <x:c r="I93" s="39"/>
      <x:c r="J93" s="39"/>
      <x:c r="K93" s="30"/>
      <x:c r="L93" s="30"/>
      <x:c r="M93" s="38" t="str">
        <x:f>IF(A93="","",K93-L93)</x:f>
      </x:c>
      <x:c r="N93" s="25"/>
      <x:c r="O93" s="25"/>
      <x:c r="P93" s="25"/>
    </x:row>
    <x:row r="94">
      <x:c r="A94" s="25"/>
      <x:c r="B94" s="25"/>
      <x:c r="C94" s="25"/>
      <x:c r="D94" s="39"/>
      <x:c r="E94" s="25"/>
      <x:c r="F94" s="30"/>
      <x:c r="G94" s="30"/>
      <x:c r="H94" s="38" t="str">
        <x:f>IF(A94="","",E94*(F94-G94))</x:f>
      </x:c>
      <x:c r="I94" s="39"/>
      <x:c r="J94" s="39"/>
      <x:c r="K94" s="30"/>
      <x:c r="L94" s="30"/>
      <x:c r="M94" s="38" t="str">
        <x:f>IF(A94="","",K94-L94)</x:f>
      </x:c>
      <x:c r="N94" s="25"/>
      <x:c r="O94" s="25"/>
      <x:c r="P94" s="25"/>
    </x:row>
    <x:row r="95">
      <x:c r="A95" s="25"/>
      <x:c r="B95" s="25"/>
      <x:c r="C95" s="25"/>
      <x:c r="D95" s="39"/>
      <x:c r="E95" s="25"/>
      <x:c r="F95" s="30"/>
      <x:c r="G95" s="30"/>
      <x:c r="H95" s="38" t="str">
        <x:f>IF(A95="","",E95*(F95-G95))</x:f>
      </x:c>
      <x:c r="I95" s="39"/>
      <x:c r="J95" s="39"/>
      <x:c r="K95" s="30"/>
      <x:c r="L95" s="30"/>
      <x:c r="M95" s="38" t="str">
        <x:f>IF(A95="","",K95-L95)</x:f>
      </x:c>
      <x:c r="N95" s="25"/>
      <x:c r="O95" s="25"/>
      <x:c r="P95" s="25"/>
    </x:row>
    <x:row r="96">
      <x:c r="A96" s="25"/>
      <x:c r="B96" s="25"/>
      <x:c r="C96" s="25"/>
      <x:c r="D96" s="39"/>
      <x:c r="E96" s="25"/>
      <x:c r="F96" s="30"/>
      <x:c r="G96" s="30"/>
      <x:c r="H96" s="38" t="str">
        <x:f>IF(A96="","",E96*(F96-G96))</x:f>
      </x:c>
      <x:c r="I96" s="39"/>
      <x:c r="J96" s="39"/>
      <x:c r="K96" s="30"/>
      <x:c r="L96" s="30"/>
      <x:c r="M96" s="38" t="str">
        <x:f>IF(A96="","",K96-L96)</x:f>
      </x:c>
      <x:c r="N96" s="25"/>
      <x:c r="O96" s="25"/>
      <x:c r="P96" s="25"/>
    </x:row>
    <x:row r="97">
      <x:c r="A97" s="25"/>
      <x:c r="B97" s="25"/>
      <x:c r="C97" s="25"/>
      <x:c r="D97" s="39"/>
      <x:c r="E97" s="25"/>
      <x:c r="F97" s="30"/>
      <x:c r="G97" s="30"/>
      <x:c r="H97" s="38" t="str">
        <x:f>IF(A97="","",E97*(F97-G97))</x:f>
      </x:c>
      <x:c r="I97" s="39"/>
      <x:c r="J97" s="39"/>
      <x:c r="K97" s="30"/>
      <x:c r="L97" s="30"/>
      <x:c r="M97" s="38" t="str">
        <x:f>IF(A97="","",K97-L97)</x:f>
      </x:c>
      <x:c r="N97" s="25"/>
      <x:c r="O97" s="25"/>
      <x:c r="P97" s="25"/>
    </x:row>
    <x:row r="98">
      <x:c r="A98" s="25"/>
      <x:c r="B98" s="25"/>
      <x:c r="C98" s="25"/>
      <x:c r="D98" s="39"/>
      <x:c r="E98" s="25"/>
      <x:c r="F98" s="30"/>
      <x:c r="G98" s="30"/>
      <x:c r="H98" s="38" t="str">
        <x:f>IF(A98="","",E98*(F98-G98))</x:f>
      </x:c>
      <x:c r="I98" s="39"/>
      <x:c r="J98" s="39"/>
      <x:c r="K98" s="30"/>
      <x:c r="L98" s="30"/>
      <x:c r="M98" s="38" t="str">
        <x:f>IF(A98="","",K98-L98)</x:f>
      </x:c>
      <x:c r="N98" s="25"/>
      <x:c r="O98" s="25"/>
      <x:c r="P98" s="25"/>
    </x:row>
    <x:row r="99">
      <x:c r="A99" s="25"/>
      <x:c r="B99" s="25"/>
      <x:c r="C99" s="25"/>
      <x:c r="D99" s="39"/>
      <x:c r="E99" s="25"/>
      <x:c r="F99" s="30"/>
      <x:c r="G99" s="30"/>
      <x:c r="H99" s="38" t="str">
        <x:f>IF(A99="","",E99*(F99-G99))</x:f>
      </x:c>
      <x:c r="I99" s="39"/>
      <x:c r="J99" s="39"/>
      <x:c r="K99" s="30"/>
      <x:c r="L99" s="30"/>
      <x:c r="M99" s="38" t="str">
        <x:f>IF(A99="","",K99-L99)</x:f>
      </x:c>
      <x:c r="N99" s="25"/>
      <x:c r="O99" s="25"/>
      <x:c r="P99" s="25"/>
    </x:row>
    <x:row r="100">
      <x:c r="A100" s="25"/>
      <x:c r="B100" s="25"/>
      <x:c r="C100" s="25"/>
      <x:c r="D100" s="39"/>
      <x:c r="E100" s="25"/>
      <x:c r="F100" s="30"/>
      <x:c r="G100" s="30"/>
      <x:c r="H100" s="38" t="str">
        <x:f>IF(A100="","",E100*(F100-G100))</x:f>
      </x:c>
      <x:c r="I100" s="39"/>
      <x:c r="J100" s="39"/>
      <x:c r="K100" s="30"/>
      <x:c r="L100" s="30"/>
      <x:c r="M100" s="38" t="str">
        <x:f>IF(A100="","",K100-L100)</x:f>
      </x:c>
      <x:c r="N100" s="25"/>
      <x:c r="O100" s="25"/>
      <x:c r="P100" s="25"/>
    </x:row>
    <x:row r="101">
      <x:c r="A101" s="25"/>
      <x:c r="B101" s="25"/>
      <x:c r="C101" s="25"/>
      <x:c r="D101" s="39"/>
      <x:c r="E101" s="25"/>
      <x:c r="F101" s="30"/>
      <x:c r="G101" s="30"/>
      <x:c r="H101" s="38" t="str">
        <x:f>IF(A101="","",E101*(F101-G101))</x:f>
      </x:c>
      <x:c r="I101" s="39"/>
      <x:c r="J101" s="39"/>
      <x:c r="K101" s="30"/>
      <x:c r="L101" s="30"/>
      <x:c r="M101" s="38" t="str">
        <x:f>IF(A101="","",K101-L101)</x:f>
      </x:c>
      <x:c r="N101" s="25"/>
      <x:c r="O101" s="25"/>
      <x:c r="P101" s="25"/>
    </x:row>
    <x:row r="102">
      <x:c r="A102" s="25"/>
      <x:c r="B102" s="25"/>
      <x:c r="C102" s="25"/>
      <x:c r="D102" s="39"/>
      <x:c r="E102" s="25"/>
      <x:c r="F102" s="30"/>
      <x:c r="G102" s="30"/>
      <x:c r="H102" s="38" t="str">
        <x:f>IF(A102="","",E102*(F102-G102))</x:f>
      </x:c>
      <x:c r="I102" s="39"/>
      <x:c r="J102" s="39"/>
      <x:c r="K102" s="30"/>
      <x:c r="L102" s="30"/>
      <x:c r="M102" s="38" t="str">
        <x:f>IF(A102="","",K102-L102)</x:f>
      </x:c>
      <x:c r="N102" s="25"/>
      <x:c r="O102" s="25"/>
      <x:c r="P102" s="25"/>
    </x:row>
    <x:row r="103">
      <x:c r="A103" s="25"/>
      <x:c r="B103" s="25"/>
      <x:c r="C103" s="25"/>
      <x:c r="D103" s="39"/>
      <x:c r="E103" s="25"/>
      <x:c r="F103" s="30"/>
      <x:c r="G103" s="30"/>
      <x:c r="H103" s="38" t="str">
        <x:f>IF(A103="","",E103*(F103-G103))</x:f>
      </x:c>
      <x:c r="I103" s="39"/>
      <x:c r="J103" s="39"/>
      <x:c r="K103" s="30"/>
      <x:c r="L103" s="30"/>
      <x:c r="M103" s="38" t="str">
        <x:f>IF(A103="","",K103-L103)</x:f>
      </x:c>
      <x:c r="N103" s="25"/>
      <x:c r="O103" s="25"/>
      <x:c r="P103" s="25"/>
    </x:row>
    <x:row r="104">
      <x:c r="A104" s="25"/>
      <x:c r="B104" s="25"/>
      <x:c r="C104" s="25"/>
      <x:c r="D104" s="39"/>
      <x:c r="E104" s="25"/>
      <x:c r="F104" s="30"/>
      <x:c r="G104" s="30"/>
      <x:c r="H104" s="38" t="str">
        <x:f>IF(A104="","",E104*(F104-G104))</x:f>
      </x:c>
      <x:c r="I104" s="39"/>
      <x:c r="J104" s="39"/>
      <x:c r="K104" s="30"/>
      <x:c r="L104" s="30"/>
      <x:c r="M104" s="38" t="str">
        <x:f>IF(A104="","",K104-L104)</x:f>
      </x:c>
      <x:c r="N104" s="25"/>
      <x:c r="O104" s="25"/>
      <x:c r="P104" s="25"/>
    </x:row>
    <x:row r="105">
      <x:c r="A105" s="25"/>
      <x:c r="B105" s="25"/>
      <x:c r="C105" s="25"/>
      <x:c r="D105" s="39"/>
      <x:c r="E105" s="25"/>
      <x:c r="F105" s="30"/>
      <x:c r="G105" s="30"/>
      <x:c r="H105" s="38" t="str">
        <x:f>IF(A105="","",E105*(F105-G105))</x:f>
      </x:c>
      <x:c r="I105" s="39"/>
      <x:c r="J105" s="39"/>
      <x:c r="K105" s="30"/>
      <x:c r="L105" s="30"/>
      <x:c r="M105" s="38" t="str">
        <x:f>IF(A105="","",K105-L105)</x:f>
      </x:c>
      <x:c r="N105" s="25"/>
      <x:c r="O105" s="25"/>
      <x:c r="P105" s="25"/>
    </x:row>
    <x:row r="106">
      <x:c r="A106" s="25"/>
      <x:c r="B106" s="25"/>
      <x:c r="C106" s="25"/>
      <x:c r="D106" s="39"/>
      <x:c r="E106" s="25"/>
      <x:c r="F106" s="30"/>
      <x:c r="G106" s="30"/>
      <x:c r="H106" s="38" t="str">
        <x:f>IF(A106="","",E106*(F106-G106))</x:f>
      </x:c>
      <x:c r="I106" s="39"/>
      <x:c r="J106" s="39"/>
      <x:c r="K106" s="30"/>
      <x:c r="L106" s="30"/>
      <x:c r="M106" s="38" t="str">
        <x:f>IF(A106="","",K106-L106)</x:f>
      </x:c>
      <x:c r="N106" s="25"/>
      <x:c r="O106" s="25"/>
      <x:c r="P106" s="25"/>
    </x:row>
  </x:sheetData>
  <x:mergeCells>
    <x:mergeCell ref="A1:P1"/>
    <x:mergeCell ref="A2:P2"/>
  </x:mergeCells>
  <x:dataValidations count="1">
    <x:dataValidation type="list" sqref="N7:N106">
      <x:formula1>"Draft,Submitted,Accepted,Rejected,Part-paid,Settled,Disputed"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28" hidden="0" customWidth="1"/>
  </x:cols>
  <x:sheetData>
    <x:row r="1" ht="30" customHeight="1">
      <x:c r="A1" s="14" t="str">
        <x:v>Brand Support</x:v>
      </x:c>
    </x:row>
    <x:row r="2" ht="32" customHeight="1">
      <x:c r="A2" s="17" t="str">
        <x:v>Expected and net value expose claim, spend, operational, space and exit costs. Enter probabilities from 0 to 1.</x:v>
      </x:c>
    </x:row>
    <x:row r="6" ht="32" customHeight="1">
      <x:c r="A6" s="22" t="str">
        <x:v>Support ID</x:v>
      </x:c>
      <x:c r="B6" s="22" t="str">
        <x:v>Supplier/brand</x:v>
      </x:c>
      <x:c r="C6" s="22" t="str">
        <x:v>Support type</x:v>
      </x:c>
      <x:c r="D6" s="22" t="str">
        <x:v>Program/version</x:v>
      </x:c>
      <x:c r="E6" s="22" t="str">
        <x:v>Contract value</x:v>
      </x:c>
      <x:c r="F6" s="22" t="str">
        <x:v>Evidence-valid probability</x:v>
      </x:c>
      <x:c r="G6" s="22" t="str">
        <x:v>Settlement probability</x:v>
      </x:c>
      <x:c r="H6" s="22" t="str">
        <x:v>Expected collected value</x:v>
      </x:c>
      <x:c r="I6" s="22" t="str">
        <x:v>K&amp;S cash spend</x:v>
      </x:c>
      <x:c r="J6" s="22" t="str">
        <x:v>Operating/tax cost</x:v>
      </x:c>
      <x:c r="K6" s="22" t="str">
        <x:v>Space/exit cost</x:v>
      </x:c>
      <x:c r="L6" s="22" t="str">
        <x:v>Net support value</x:v>
      </x:c>
      <x:c r="M6" s="22" t="str">
        <x:v>Submitted amount</x:v>
      </x:c>
      <x:c r="N6" s="22" t="str">
        <x:v>Received amount</x:v>
      </x:c>
      <x:c r="O6" s="22" t="str">
        <x:v>Realisation rate</x:v>
      </x:c>
      <x:c r="P6" s="22" t="str">
        <x:v>Claim deadline</x:v>
      </x:c>
      <x:c r="Q6" s="22" t="str">
        <x:v>Status</x:v>
      </x:c>
      <x:c r="R6" s="22" t="str">
        <x:v>Evidence reference</x:v>
      </x:c>
    </x:row>
    <x:row r="7">
      <x:c r="A7" s="25"/>
      <x:c r="B7" s="25"/>
      <x:c r="C7" s="25"/>
      <x:c r="D7" s="25"/>
      <x:c r="E7" s="30"/>
      <x:c r="F7" s="40"/>
      <x:c r="G7" s="40"/>
      <x:c r="H7" s="38" t="str">
        <x:f>IF(A7="","",E7*F7*G7)</x:f>
      </x:c>
      <x:c r="I7" s="30"/>
      <x:c r="J7" s="30"/>
      <x:c r="K7" s="30"/>
      <x:c r="L7" s="38" t="str">
        <x:f>IF(A7="","",H7-I7-J7-K7)</x:f>
      </x:c>
      <x:c r="M7" s="30"/>
      <x:c r="N7" s="30"/>
      <x:c r="O7" s="41" t="str">
        <x:f>IF(A7="","",IF(M7=0,0,N7/M7))</x:f>
      </x:c>
      <x:c r="P7" s="39"/>
      <x:c r="Q7" s="25"/>
      <x:c r="R7" s="25"/>
    </x:row>
    <x:row r="8">
      <x:c r="A8" s="25"/>
      <x:c r="B8" s="25"/>
      <x:c r="C8" s="25"/>
      <x:c r="D8" s="25"/>
      <x:c r="E8" s="30"/>
      <x:c r="F8" s="40"/>
      <x:c r="G8" s="40"/>
      <x:c r="H8" s="38" t="str">
        <x:f>IF(A8="","",E8*F8*G8)</x:f>
      </x:c>
      <x:c r="I8" s="30"/>
      <x:c r="J8" s="30"/>
      <x:c r="K8" s="30"/>
      <x:c r="L8" s="38" t="str">
        <x:f>IF(A8="","",H8-I8-J8-K8)</x:f>
      </x:c>
      <x:c r="M8" s="30"/>
      <x:c r="N8" s="30"/>
      <x:c r="O8" s="41" t="str">
        <x:f>IF(A8="","",IF(M8=0,0,N8/M8))</x:f>
      </x:c>
      <x:c r="P8" s="39"/>
      <x:c r="Q8" s="25"/>
      <x:c r="R8" s="25"/>
    </x:row>
    <x:row r="9">
      <x:c r="A9" s="25"/>
      <x:c r="B9" s="25"/>
      <x:c r="C9" s="25"/>
      <x:c r="D9" s="25"/>
      <x:c r="E9" s="30"/>
      <x:c r="F9" s="40"/>
      <x:c r="G9" s="40"/>
      <x:c r="H9" s="38" t="str">
        <x:f>IF(A9="","",E9*F9*G9)</x:f>
      </x:c>
      <x:c r="I9" s="30"/>
      <x:c r="J9" s="30"/>
      <x:c r="K9" s="30"/>
      <x:c r="L9" s="38" t="str">
        <x:f>IF(A9="","",H9-I9-J9-K9)</x:f>
      </x:c>
      <x:c r="M9" s="30"/>
      <x:c r="N9" s="30"/>
      <x:c r="O9" s="41" t="str">
        <x:f>IF(A9="","",IF(M9=0,0,N9/M9))</x:f>
      </x:c>
      <x:c r="P9" s="39"/>
      <x:c r="Q9" s="25"/>
      <x:c r="R9" s="25"/>
    </x:row>
    <x:row r="10">
      <x:c r="A10" s="25"/>
      <x:c r="B10" s="25"/>
      <x:c r="C10" s="25"/>
      <x:c r="D10" s="25"/>
      <x:c r="E10" s="30"/>
      <x:c r="F10" s="40"/>
      <x:c r="G10" s="40"/>
      <x:c r="H10" s="38" t="str">
        <x:f>IF(A10="","",E10*F10*G10)</x:f>
      </x:c>
      <x:c r="I10" s="30"/>
      <x:c r="J10" s="30"/>
      <x:c r="K10" s="30"/>
      <x:c r="L10" s="38" t="str">
        <x:f>IF(A10="","",H10-I10-J10-K10)</x:f>
      </x:c>
      <x:c r="M10" s="30"/>
      <x:c r="N10" s="30"/>
      <x:c r="O10" s="41" t="str">
        <x:f>IF(A10="","",IF(M10=0,0,N10/M10))</x:f>
      </x:c>
      <x:c r="P10" s="39"/>
      <x:c r="Q10" s="25"/>
      <x:c r="R10" s="25"/>
    </x:row>
    <x:row r="11">
      <x:c r="A11" s="25"/>
      <x:c r="B11" s="25"/>
      <x:c r="C11" s="25"/>
      <x:c r="D11" s="25"/>
      <x:c r="E11" s="30"/>
      <x:c r="F11" s="40"/>
      <x:c r="G11" s="40"/>
      <x:c r="H11" s="38" t="str">
        <x:f>IF(A11="","",E11*F11*G11)</x:f>
      </x:c>
      <x:c r="I11" s="30"/>
      <x:c r="J11" s="30"/>
      <x:c r="K11" s="30"/>
      <x:c r="L11" s="38" t="str">
        <x:f>IF(A11="","",H11-I11-J11-K11)</x:f>
      </x:c>
      <x:c r="M11" s="30"/>
      <x:c r="N11" s="30"/>
      <x:c r="O11" s="41" t="str">
        <x:f>IF(A11="","",IF(M11=0,0,N11/M11))</x:f>
      </x:c>
      <x:c r="P11" s="39"/>
      <x:c r="Q11" s="25"/>
      <x:c r="R11" s="25"/>
    </x:row>
    <x:row r="12">
      <x:c r="A12" s="25"/>
      <x:c r="B12" s="25"/>
      <x:c r="C12" s="25"/>
      <x:c r="D12" s="25"/>
      <x:c r="E12" s="30"/>
      <x:c r="F12" s="40"/>
      <x:c r="G12" s="40"/>
      <x:c r="H12" s="38" t="str">
        <x:f>IF(A12="","",E12*F12*G12)</x:f>
      </x:c>
      <x:c r="I12" s="30"/>
      <x:c r="J12" s="30"/>
      <x:c r="K12" s="30"/>
      <x:c r="L12" s="38" t="str">
        <x:f>IF(A12="","",H12-I12-J12-K12)</x:f>
      </x:c>
      <x:c r="M12" s="30"/>
      <x:c r="N12" s="30"/>
      <x:c r="O12" s="41" t="str">
        <x:f>IF(A12="","",IF(M12=0,0,N12/M12))</x:f>
      </x:c>
      <x:c r="P12" s="39"/>
      <x:c r="Q12" s="25"/>
      <x:c r="R12" s="25"/>
    </x:row>
    <x:row r="13">
      <x:c r="A13" s="25"/>
      <x:c r="B13" s="25"/>
      <x:c r="C13" s="25"/>
      <x:c r="D13" s="25"/>
      <x:c r="E13" s="30"/>
      <x:c r="F13" s="40"/>
      <x:c r="G13" s="40"/>
      <x:c r="H13" s="38" t="str">
        <x:f>IF(A13="","",E13*F13*G13)</x:f>
      </x:c>
      <x:c r="I13" s="30"/>
      <x:c r="J13" s="30"/>
      <x:c r="K13" s="30"/>
      <x:c r="L13" s="38" t="str">
        <x:f>IF(A13="","",H13-I13-J13-K13)</x:f>
      </x:c>
      <x:c r="M13" s="30"/>
      <x:c r="N13" s="30"/>
      <x:c r="O13" s="41" t="str">
        <x:f>IF(A13="","",IF(M13=0,0,N13/M13))</x:f>
      </x:c>
      <x:c r="P13" s="39"/>
      <x:c r="Q13" s="25"/>
      <x:c r="R13" s="25"/>
    </x:row>
    <x:row r="14">
      <x:c r="A14" s="25"/>
      <x:c r="B14" s="25"/>
      <x:c r="C14" s="25"/>
      <x:c r="D14" s="25"/>
      <x:c r="E14" s="30"/>
      <x:c r="F14" s="40"/>
      <x:c r="G14" s="40"/>
      <x:c r="H14" s="38" t="str">
        <x:f>IF(A14="","",E14*F14*G14)</x:f>
      </x:c>
      <x:c r="I14" s="30"/>
      <x:c r="J14" s="30"/>
      <x:c r="K14" s="30"/>
      <x:c r="L14" s="38" t="str">
        <x:f>IF(A14="","",H14-I14-J14-K14)</x:f>
      </x:c>
      <x:c r="M14" s="30"/>
      <x:c r="N14" s="30"/>
      <x:c r="O14" s="41" t="str">
        <x:f>IF(A14="","",IF(M14=0,0,N14/M14))</x:f>
      </x:c>
      <x:c r="P14" s="39"/>
      <x:c r="Q14" s="25"/>
      <x:c r="R14" s="25"/>
    </x:row>
    <x:row r="15">
      <x:c r="A15" s="25"/>
      <x:c r="B15" s="25"/>
      <x:c r="C15" s="25"/>
      <x:c r="D15" s="25"/>
      <x:c r="E15" s="30"/>
      <x:c r="F15" s="40"/>
      <x:c r="G15" s="40"/>
      <x:c r="H15" s="38" t="str">
        <x:f>IF(A15="","",E15*F15*G15)</x:f>
      </x:c>
      <x:c r="I15" s="30"/>
      <x:c r="J15" s="30"/>
      <x:c r="K15" s="30"/>
      <x:c r="L15" s="38" t="str">
        <x:f>IF(A15="","",H15-I15-J15-K15)</x:f>
      </x:c>
      <x:c r="M15" s="30"/>
      <x:c r="N15" s="30"/>
      <x:c r="O15" s="41" t="str">
        <x:f>IF(A15="","",IF(M15=0,0,N15/M15))</x:f>
      </x:c>
      <x:c r="P15" s="39"/>
      <x:c r="Q15" s="25"/>
      <x:c r="R15" s="25"/>
    </x:row>
    <x:row r="16">
      <x:c r="A16" s="25"/>
      <x:c r="B16" s="25"/>
      <x:c r="C16" s="25"/>
      <x:c r="D16" s="25"/>
      <x:c r="E16" s="30"/>
      <x:c r="F16" s="40"/>
      <x:c r="G16" s="40"/>
      <x:c r="H16" s="38" t="str">
        <x:f>IF(A16="","",E16*F16*G16)</x:f>
      </x:c>
      <x:c r="I16" s="30"/>
      <x:c r="J16" s="30"/>
      <x:c r="K16" s="30"/>
      <x:c r="L16" s="38" t="str">
        <x:f>IF(A16="","",H16-I16-J16-K16)</x:f>
      </x:c>
      <x:c r="M16" s="30"/>
      <x:c r="N16" s="30"/>
      <x:c r="O16" s="41" t="str">
        <x:f>IF(A16="","",IF(M16=0,0,N16/M16))</x:f>
      </x:c>
      <x:c r="P16" s="39"/>
      <x:c r="Q16" s="25"/>
      <x:c r="R16" s="25"/>
    </x:row>
    <x:row r="17">
      <x:c r="A17" s="25"/>
      <x:c r="B17" s="25"/>
      <x:c r="C17" s="25"/>
      <x:c r="D17" s="25"/>
      <x:c r="E17" s="30"/>
      <x:c r="F17" s="40"/>
      <x:c r="G17" s="40"/>
      <x:c r="H17" s="38" t="str">
        <x:f>IF(A17="","",E17*F17*G17)</x:f>
      </x:c>
      <x:c r="I17" s="30"/>
      <x:c r="J17" s="30"/>
      <x:c r="K17" s="30"/>
      <x:c r="L17" s="38" t="str">
        <x:f>IF(A17="","",H17-I17-J17-K17)</x:f>
      </x:c>
      <x:c r="M17" s="30"/>
      <x:c r="N17" s="30"/>
      <x:c r="O17" s="41" t="str">
        <x:f>IF(A17="","",IF(M17=0,0,N17/M17))</x:f>
      </x:c>
      <x:c r="P17" s="39"/>
      <x:c r="Q17" s="25"/>
      <x:c r="R17" s="25"/>
    </x:row>
    <x:row r="18">
      <x:c r="A18" s="25"/>
      <x:c r="B18" s="25"/>
      <x:c r="C18" s="25"/>
      <x:c r="D18" s="25"/>
      <x:c r="E18" s="30"/>
      <x:c r="F18" s="40"/>
      <x:c r="G18" s="40"/>
      <x:c r="H18" s="38" t="str">
        <x:f>IF(A18="","",E18*F18*G18)</x:f>
      </x:c>
      <x:c r="I18" s="30"/>
      <x:c r="J18" s="30"/>
      <x:c r="K18" s="30"/>
      <x:c r="L18" s="38" t="str">
        <x:f>IF(A18="","",H18-I18-J18-K18)</x:f>
      </x:c>
      <x:c r="M18" s="30"/>
      <x:c r="N18" s="30"/>
      <x:c r="O18" s="41" t="str">
        <x:f>IF(A18="","",IF(M18=0,0,N18/M18))</x:f>
      </x:c>
      <x:c r="P18" s="39"/>
      <x:c r="Q18" s="25"/>
      <x:c r="R18" s="25"/>
    </x:row>
    <x:row r="19">
      <x:c r="A19" s="25"/>
      <x:c r="B19" s="25"/>
      <x:c r="C19" s="25"/>
      <x:c r="D19" s="25"/>
      <x:c r="E19" s="30"/>
      <x:c r="F19" s="40"/>
      <x:c r="G19" s="40"/>
      <x:c r="H19" s="38" t="str">
        <x:f>IF(A19="","",E19*F19*G19)</x:f>
      </x:c>
      <x:c r="I19" s="30"/>
      <x:c r="J19" s="30"/>
      <x:c r="K19" s="30"/>
      <x:c r="L19" s="38" t="str">
        <x:f>IF(A19="","",H19-I19-J19-K19)</x:f>
      </x:c>
      <x:c r="M19" s="30"/>
      <x:c r="N19" s="30"/>
      <x:c r="O19" s="41" t="str">
        <x:f>IF(A19="","",IF(M19=0,0,N19/M19))</x:f>
      </x:c>
      <x:c r="P19" s="39"/>
      <x:c r="Q19" s="25"/>
      <x:c r="R19" s="25"/>
    </x:row>
    <x:row r="20">
      <x:c r="A20" s="25"/>
      <x:c r="B20" s="25"/>
      <x:c r="C20" s="25"/>
      <x:c r="D20" s="25"/>
      <x:c r="E20" s="30"/>
      <x:c r="F20" s="40"/>
      <x:c r="G20" s="40"/>
      <x:c r="H20" s="38" t="str">
        <x:f>IF(A20="","",E20*F20*G20)</x:f>
      </x:c>
      <x:c r="I20" s="30"/>
      <x:c r="J20" s="30"/>
      <x:c r="K20" s="30"/>
      <x:c r="L20" s="38" t="str">
        <x:f>IF(A20="","",H20-I20-J20-K20)</x:f>
      </x:c>
      <x:c r="M20" s="30"/>
      <x:c r="N20" s="30"/>
      <x:c r="O20" s="41" t="str">
        <x:f>IF(A20="","",IF(M20=0,0,N20/M20))</x:f>
      </x:c>
      <x:c r="P20" s="39"/>
      <x:c r="Q20" s="25"/>
      <x:c r="R20" s="25"/>
    </x:row>
    <x:row r="21">
      <x:c r="A21" s="25"/>
      <x:c r="B21" s="25"/>
      <x:c r="C21" s="25"/>
      <x:c r="D21" s="25"/>
      <x:c r="E21" s="30"/>
      <x:c r="F21" s="40"/>
      <x:c r="G21" s="40"/>
      <x:c r="H21" s="38" t="str">
        <x:f>IF(A21="","",E21*F21*G21)</x:f>
      </x:c>
      <x:c r="I21" s="30"/>
      <x:c r="J21" s="30"/>
      <x:c r="K21" s="30"/>
      <x:c r="L21" s="38" t="str">
        <x:f>IF(A21="","",H21-I21-J21-K21)</x:f>
      </x:c>
      <x:c r="M21" s="30"/>
      <x:c r="N21" s="30"/>
      <x:c r="O21" s="41" t="str">
        <x:f>IF(A21="","",IF(M21=0,0,N21/M21))</x:f>
      </x:c>
      <x:c r="P21" s="39"/>
      <x:c r="Q21" s="25"/>
      <x:c r="R21" s="25"/>
    </x:row>
    <x:row r="22">
      <x:c r="A22" s="25"/>
      <x:c r="B22" s="25"/>
      <x:c r="C22" s="25"/>
      <x:c r="D22" s="25"/>
      <x:c r="E22" s="30"/>
      <x:c r="F22" s="40"/>
      <x:c r="G22" s="40"/>
      <x:c r="H22" s="38" t="str">
        <x:f>IF(A22="","",E22*F22*G22)</x:f>
      </x:c>
      <x:c r="I22" s="30"/>
      <x:c r="J22" s="30"/>
      <x:c r="K22" s="30"/>
      <x:c r="L22" s="38" t="str">
        <x:f>IF(A22="","",H22-I22-J22-K22)</x:f>
      </x:c>
      <x:c r="M22" s="30"/>
      <x:c r="N22" s="30"/>
      <x:c r="O22" s="41" t="str">
        <x:f>IF(A22="","",IF(M22=0,0,N22/M22))</x:f>
      </x:c>
      <x:c r="P22" s="39"/>
      <x:c r="Q22" s="25"/>
      <x:c r="R22" s="25"/>
    </x:row>
    <x:row r="23">
      <x:c r="A23" s="25"/>
      <x:c r="B23" s="25"/>
      <x:c r="C23" s="25"/>
      <x:c r="D23" s="25"/>
      <x:c r="E23" s="30"/>
      <x:c r="F23" s="40"/>
      <x:c r="G23" s="40"/>
      <x:c r="H23" s="38" t="str">
        <x:f>IF(A23="","",E23*F23*G23)</x:f>
      </x:c>
      <x:c r="I23" s="30"/>
      <x:c r="J23" s="30"/>
      <x:c r="K23" s="30"/>
      <x:c r="L23" s="38" t="str">
        <x:f>IF(A23="","",H23-I23-J23-K23)</x:f>
      </x:c>
      <x:c r="M23" s="30"/>
      <x:c r="N23" s="30"/>
      <x:c r="O23" s="41" t="str">
        <x:f>IF(A23="","",IF(M23=0,0,N23/M23))</x:f>
      </x:c>
      <x:c r="P23" s="39"/>
      <x:c r="Q23" s="25"/>
      <x:c r="R23" s="25"/>
    </x:row>
    <x:row r="24">
      <x:c r="A24" s="25"/>
      <x:c r="B24" s="25"/>
      <x:c r="C24" s="25"/>
      <x:c r="D24" s="25"/>
      <x:c r="E24" s="30"/>
      <x:c r="F24" s="40"/>
      <x:c r="G24" s="40"/>
      <x:c r="H24" s="38" t="str">
        <x:f>IF(A24="","",E24*F24*G24)</x:f>
      </x:c>
      <x:c r="I24" s="30"/>
      <x:c r="J24" s="30"/>
      <x:c r="K24" s="30"/>
      <x:c r="L24" s="38" t="str">
        <x:f>IF(A24="","",H24-I24-J24-K24)</x:f>
      </x:c>
      <x:c r="M24" s="30"/>
      <x:c r="N24" s="30"/>
      <x:c r="O24" s="41" t="str">
        <x:f>IF(A24="","",IF(M24=0,0,N24/M24))</x:f>
      </x:c>
      <x:c r="P24" s="39"/>
      <x:c r="Q24" s="25"/>
      <x:c r="R24" s="25"/>
    </x:row>
    <x:row r="25">
      <x:c r="A25" s="25"/>
      <x:c r="B25" s="25"/>
      <x:c r="C25" s="25"/>
      <x:c r="D25" s="25"/>
      <x:c r="E25" s="30"/>
      <x:c r="F25" s="40"/>
      <x:c r="G25" s="40"/>
      <x:c r="H25" s="38" t="str">
        <x:f>IF(A25="","",E25*F25*G25)</x:f>
      </x:c>
      <x:c r="I25" s="30"/>
      <x:c r="J25" s="30"/>
      <x:c r="K25" s="30"/>
      <x:c r="L25" s="38" t="str">
        <x:f>IF(A25="","",H25-I25-J25-K25)</x:f>
      </x:c>
      <x:c r="M25" s="30"/>
      <x:c r="N25" s="30"/>
      <x:c r="O25" s="41" t="str">
        <x:f>IF(A25="","",IF(M25=0,0,N25/M25))</x:f>
      </x:c>
      <x:c r="P25" s="39"/>
      <x:c r="Q25" s="25"/>
      <x:c r="R25" s="25"/>
    </x:row>
    <x:row r="26">
      <x:c r="A26" s="25"/>
      <x:c r="B26" s="25"/>
      <x:c r="C26" s="25"/>
      <x:c r="D26" s="25"/>
      <x:c r="E26" s="30"/>
      <x:c r="F26" s="40"/>
      <x:c r="G26" s="40"/>
      <x:c r="H26" s="38" t="str">
        <x:f>IF(A26="","",E26*F26*G26)</x:f>
      </x:c>
      <x:c r="I26" s="30"/>
      <x:c r="J26" s="30"/>
      <x:c r="K26" s="30"/>
      <x:c r="L26" s="38" t="str">
        <x:f>IF(A26="","",H26-I26-J26-K26)</x:f>
      </x:c>
      <x:c r="M26" s="30"/>
      <x:c r="N26" s="30"/>
      <x:c r="O26" s="41" t="str">
        <x:f>IF(A26="","",IF(M26=0,0,N26/M26))</x:f>
      </x:c>
      <x:c r="P26" s="39"/>
      <x:c r="Q26" s="25"/>
      <x:c r="R26" s="25"/>
    </x:row>
    <x:row r="27">
      <x:c r="A27" s="25"/>
      <x:c r="B27" s="25"/>
      <x:c r="C27" s="25"/>
      <x:c r="D27" s="25"/>
      <x:c r="E27" s="30"/>
      <x:c r="F27" s="40"/>
      <x:c r="G27" s="40"/>
      <x:c r="H27" s="38" t="str">
        <x:f>IF(A27="","",E27*F27*G27)</x:f>
      </x:c>
      <x:c r="I27" s="30"/>
      <x:c r="J27" s="30"/>
      <x:c r="K27" s="30"/>
      <x:c r="L27" s="38" t="str">
        <x:f>IF(A27="","",H27-I27-J27-K27)</x:f>
      </x:c>
      <x:c r="M27" s="30"/>
      <x:c r="N27" s="30"/>
      <x:c r="O27" s="41" t="str">
        <x:f>IF(A27="","",IF(M27=0,0,N27/M27))</x:f>
      </x:c>
      <x:c r="P27" s="39"/>
      <x:c r="Q27" s="25"/>
      <x:c r="R27" s="25"/>
    </x:row>
    <x:row r="28">
      <x:c r="A28" s="25"/>
      <x:c r="B28" s="25"/>
      <x:c r="C28" s="25"/>
      <x:c r="D28" s="25"/>
      <x:c r="E28" s="30"/>
      <x:c r="F28" s="40"/>
      <x:c r="G28" s="40"/>
      <x:c r="H28" s="38" t="str">
        <x:f>IF(A28="","",E28*F28*G28)</x:f>
      </x:c>
      <x:c r="I28" s="30"/>
      <x:c r="J28" s="30"/>
      <x:c r="K28" s="30"/>
      <x:c r="L28" s="38" t="str">
        <x:f>IF(A28="","",H28-I28-J28-K28)</x:f>
      </x:c>
      <x:c r="M28" s="30"/>
      <x:c r="N28" s="30"/>
      <x:c r="O28" s="41" t="str">
        <x:f>IF(A28="","",IF(M28=0,0,N28/M28))</x:f>
      </x:c>
      <x:c r="P28" s="39"/>
      <x:c r="Q28" s="25"/>
      <x:c r="R28" s="25"/>
    </x:row>
    <x:row r="29">
      <x:c r="A29" s="25"/>
      <x:c r="B29" s="25"/>
      <x:c r="C29" s="25"/>
      <x:c r="D29" s="25"/>
      <x:c r="E29" s="30"/>
      <x:c r="F29" s="40"/>
      <x:c r="G29" s="40"/>
      <x:c r="H29" s="38" t="str">
        <x:f>IF(A29="","",E29*F29*G29)</x:f>
      </x:c>
      <x:c r="I29" s="30"/>
      <x:c r="J29" s="30"/>
      <x:c r="K29" s="30"/>
      <x:c r="L29" s="38" t="str">
        <x:f>IF(A29="","",H29-I29-J29-K29)</x:f>
      </x:c>
      <x:c r="M29" s="30"/>
      <x:c r="N29" s="30"/>
      <x:c r="O29" s="41" t="str">
        <x:f>IF(A29="","",IF(M29=0,0,N29/M29))</x:f>
      </x:c>
      <x:c r="P29" s="39"/>
      <x:c r="Q29" s="25"/>
      <x:c r="R29" s="25"/>
    </x:row>
    <x:row r="30">
      <x:c r="A30" s="25"/>
      <x:c r="B30" s="25"/>
      <x:c r="C30" s="25"/>
      <x:c r="D30" s="25"/>
      <x:c r="E30" s="30"/>
      <x:c r="F30" s="40"/>
      <x:c r="G30" s="40"/>
      <x:c r="H30" s="38" t="str">
        <x:f>IF(A30="","",E30*F30*G30)</x:f>
      </x:c>
      <x:c r="I30" s="30"/>
      <x:c r="J30" s="30"/>
      <x:c r="K30" s="30"/>
      <x:c r="L30" s="38" t="str">
        <x:f>IF(A30="","",H30-I30-J30-K30)</x:f>
      </x:c>
      <x:c r="M30" s="30"/>
      <x:c r="N30" s="30"/>
      <x:c r="O30" s="41" t="str">
        <x:f>IF(A30="","",IF(M30=0,0,N30/M30))</x:f>
      </x:c>
      <x:c r="P30" s="39"/>
      <x:c r="Q30" s="25"/>
      <x:c r="R30" s="25"/>
    </x:row>
    <x:row r="31">
      <x:c r="A31" s="25"/>
      <x:c r="B31" s="25"/>
      <x:c r="C31" s="25"/>
      <x:c r="D31" s="25"/>
      <x:c r="E31" s="30"/>
      <x:c r="F31" s="40"/>
      <x:c r="G31" s="40"/>
      <x:c r="H31" s="38" t="str">
        <x:f>IF(A31="","",E31*F31*G31)</x:f>
      </x:c>
      <x:c r="I31" s="30"/>
      <x:c r="J31" s="30"/>
      <x:c r="K31" s="30"/>
      <x:c r="L31" s="38" t="str">
        <x:f>IF(A31="","",H31-I31-J31-K31)</x:f>
      </x:c>
      <x:c r="M31" s="30"/>
      <x:c r="N31" s="30"/>
      <x:c r="O31" s="41" t="str">
        <x:f>IF(A31="","",IF(M31=0,0,N31/M31))</x:f>
      </x:c>
      <x:c r="P31" s="39"/>
      <x:c r="Q31" s="25"/>
      <x:c r="R31" s="25"/>
    </x:row>
    <x:row r="32">
      <x:c r="A32" s="25"/>
      <x:c r="B32" s="25"/>
      <x:c r="C32" s="25"/>
      <x:c r="D32" s="25"/>
      <x:c r="E32" s="30"/>
      <x:c r="F32" s="40"/>
      <x:c r="G32" s="40"/>
      <x:c r="H32" s="38" t="str">
        <x:f>IF(A32="","",E32*F32*G32)</x:f>
      </x:c>
      <x:c r="I32" s="30"/>
      <x:c r="J32" s="30"/>
      <x:c r="K32" s="30"/>
      <x:c r="L32" s="38" t="str">
        <x:f>IF(A32="","",H32-I32-J32-K32)</x:f>
      </x:c>
      <x:c r="M32" s="30"/>
      <x:c r="N32" s="30"/>
      <x:c r="O32" s="41" t="str">
        <x:f>IF(A32="","",IF(M32=0,0,N32/M32))</x:f>
      </x:c>
      <x:c r="P32" s="39"/>
      <x:c r="Q32" s="25"/>
      <x:c r="R32" s="25"/>
    </x:row>
    <x:row r="33">
      <x:c r="A33" s="25"/>
      <x:c r="B33" s="25"/>
      <x:c r="C33" s="25"/>
      <x:c r="D33" s="25"/>
      <x:c r="E33" s="30"/>
      <x:c r="F33" s="40"/>
      <x:c r="G33" s="40"/>
      <x:c r="H33" s="38" t="str">
        <x:f>IF(A33="","",E33*F33*G33)</x:f>
      </x:c>
      <x:c r="I33" s="30"/>
      <x:c r="J33" s="30"/>
      <x:c r="K33" s="30"/>
      <x:c r="L33" s="38" t="str">
        <x:f>IF(A33="","",H33-I33-J33-K33)</x:f>
      </x:c>
      <x:c r="M33" s="30"/>
      <x:c r="N33" s="30"/>
      <x:c r="O33" s="41" t="str">
        <x:f>IF(A33="","",IF(M33=0,0,N33/M33))</x:f>
      </x:c>
      <x:c r="P33" s="39"/>
      <x:c r="Q33" s="25"/>
      <x:c r="R33" s="25"/>
    </x:row>
    <x:row r="34">
      <x:c r="A34" s="25"/>
      <x:c r="B34" s="25"/>
      <x:c r="C34" s="25"/>
      <x:c r="D34" s="25"/>
      <x:c r="E34" s="30"/>
      <x:c r="F34" s="40"/>
      <x:c r="G34" s="40"/>
      <x:c r="H34" s="38" t="str">
        <x:f>IF(A34="","",E34*F34*G34)</x:f>
      </x:c>
      <x:c r="I34" s="30"/>
      <x:c r="J34" s="30"/>
      <x:c r="K34" s="30"/>
      <x:c r="L34" s="38" t="str">
        <x:f>IF(A34="","",H34-I34-J34-K34)</x:f>
      </x:c>
      <x:c r="M34" s="30"/>
      <x:c r="N34" s="30"/>
      <x:c r="O34" s="41" t="str">
        <x:f>IF(A34="","",IF(M34=0,0,N34/M34))</x:f>
      </x:c>
      <x:c r="P34" s="39"/>
      <x:c r="Q34" s="25"/>
      <x:c r="R34" s="25"/>
    </x:row>
    <x:row r="35">
      <x:c r="A35" s="25"/>
      <x:c r="B35" s="25"/>
      <x:c r="C35" s="25"/>
      <x:c r="D35" s="25"/>
      <x:c r="E35" s="30"/>
      <x:c r="F35" s="40"/>
      <x:c r="G35" s="40"/>
      <x:c r="H35" s="38" t="str">
        <x:f>IF(A35="","",E35*F35*G35)</x:f>
      </x:c>
      <x:c r="I35" s="30"/>
      <x:c r="J35" s="30"/>
      <x:c r="K35" s="30"/>
      <x:c r="L35" s="38" t="str">
        <x:f>IF(A35="","",H35-I35-J35-K35)</x:f>
      </x:c>
      <x:c r="M35" s="30"/>
      <x:c r="N35" s="30"/>
      <x:c r="O35" s="41" t="str">
        <x:f>IF(A35="","",IF(M35=0,0,N35/M35))</x:f>
      </x:c>
      <x:c r="P35" s="39"/>
      <x:c r="Q35" s="25"/>
      <x:c r="R35" s="25"/>
    </x:row>
    <x:row r="36">
      <x:c r="A36" s="25"/>
      <x:c r="B36" s="25"/>
      <x:c r="C36" s="25"/>
      <x:c r="D36" s="25"/>
      <x:c r="E36" s="30"/>
      <x:c r="F36" s="40"/>
      <x:c r="G36" s="40"/>
      <x:c r="H36" s="38" t="str">
        <x:f>IF(A36="","",E36*F36*G36)</x:f>
      </x:c>
      <x:c r="I36" s="30"/>
      <x:c r="J36" s="30"/>
      <x:c r="K36" s="30"/>
      <x:c r="L36" s="38" t="str">
        <x:f>IF(A36="","",H36-I36-J36-K36)</x:f>
      </x:c>
      <x:c r="M36" s="30"/>
      <x:c r="N36" s="30"/>
      <x:c r="O36" s="41" t="str">
        <x:f>IF(A36="","",IF(M36=0,0,N36/M36))</x:f>
      </x:c>
      <x:c r="P36" s="39"/>
      <x:c r="Q36" s="25"/>
      <x:c r="R36" s="25"/>
    </x:row>
    <x:row r="37">
      <x:c r="A37" s="25"/>
      <x:c r="B37" s="25"/>
      <x:c r="C37" s="25"/>
      <x:c r="D37" s="25"/>
      <x:c r="E37" s="30"/>
      <x:c r="F37" s="40"/>
      <x:c r="G37" s="40"/>
      <x:c r="H37" s="38" t="str">
        <x:f>IF(A37="","",E37*F37*G37)</x:f>
      </x:c>
      <x:c r="I37" s="30"/>
      <x:c r="J37" s="30"/>
      <x:c r="K37" s="30"/>
      <x:c r="L37" s="38" t="str">
        <x:f>IF(A37="","",H37-I37-J37-K37)</x:f>
      </x:c>
      <x:c r="M37" s="30"/>
      <x:c r="N37" s="30"/>
      <x:c r="O37" s="41" t="str">
        <x:f>IF(A37="","",IF(M37=0,0,N37/M37))</x:f>
      </x:c>
      <x:c r="P37" s="39"/>
      <x:c r="Q37" s="25"/>
      <x:c r="R37" s="25"/>
    </x:row>
    <x:row r="38">
      <x:c r="A38" s="25"/>
      <x:c r="B38" s="25"/>
      <x:c r="C38" s="25"/>
      <x:c r="D38" s="25"/>
      <x:c r="E38" s="30"/>
      <x:c r="F38" s="40"/>
      <x:c r="G38" s="40"/>
      <x:c r="H38" s="38" t="str">
        <x:f>IF(A38="","",E38*F38*G38)</x:f>
      </x:c>
      <x:c r="I38" s="30"/>
      <x:c r="J38" s="30"/>
      <x:c r="K38" s="30"/>
      <x:c r="L38" s="38" t="str">
        <x:f>IF(A38="","",H38-I38-J38-K38)</x:f>
      </x:c>
      <x:c r="M38" s="30"/>
      <x:c r="N38" s="30"/>
      <x:c r="O38" s="41" t="str">
        <x:f>IF(A38="","",IF(M38=0,0,N38/M38))</x:f>
      </x:c>
      <x:c r="P38" s="39"/>
      <x:c r="Q38" s="25"/>
      <x:c r="R38" s="25"/>
    </x:row>
    <x:row r="39">
      <x:c r="A39" s="25"/>
      <x:c r="B39" s="25"/>
      <x:c r="C39" s="25"/>
      <x:c r="D39" s="25"/>
      <x:c r="E39" s="30"/>
      <x:c r="F39" s="40"/>
      <x:c r="G39" s="40"/>
      <x:c r="H39" s="38" t="str">
        <x:f>IF(A39="","",E39*F39*G39)</x:f>
      </x:c>
      <x:c r="I39" s="30"/>
      <x:c r="J39" s="30"/>
      <x:c r="K39" s="30"/>
      <x:c r="L39" s="38" t="str">
        <x:f>IF(A39="","",H39-I39-J39-K39)</x:f>
      </x:c>
      <x:c r="M39" s="30"/>
      <x:c r="N39" s="30"/>
      <x:c r="O39" s="41" t="str">
        <x:f>IF(A39="","",IF(M39=0,0,N39/M39))</x:f>
      </x:c>
      <x:c r="P39" s="39"/>
      <x:c r="Q39" s="25"/>
      <x:c r="R39" s="25"/>
    </x:row>
    <x:row r="40">
      <x:c r="A40" s="25"/>
      <x:c r="B40" s="25"/>
      <x:c r="C40" s="25"/>
      <x:c r="D40" s="25"/>
      <x:c r="E40" s="30"/>
      <x:c r="F40" s="40"/>
      <x:c r="G40" s="40"/>
      <x:c r="H40" s="38" t="str">
        <x:f>IF(A40="","",E40*F40*G40)</x:f>
      </x:c>
      <x:c r="I40" s="30"/>
      <x:c r="J40" s="30"/>
      <x:c r="K40" s="30"/>
      <x:c r="L40" s="38" t="str">
        <x:f>IF(A40="","",H40-I40-J40-K40)</x:f>
      </x:c>
      <x:c r="M40" s="30"/>
      <x:c r="N40" s="30"/>
      <x:c r="O40" s="41" t="str">
        <x:f>IF(A40="","",IF(M40=0,0,N40/M40))</x:f>
      </x:c>
      <x:c r="P40" s="39"/>
      <x:c r="Q40" s="25"/>
      <x:c r="R40" s="25"/>
    </x:row>
    <x:row r="41">
      <x:c r="A41" s="25"/>
      <x:c r="B41" s="25"/>
      <x:c r="C41" s="25"/>
      <x:c r="D41" s="25"/>
      <x:c r="E41" s="30"/>
      <x:c r="F41" s="40"/>
      <x:c r="G41" s="40"/>
      <x:c r="H41" s="38" t="str">
        <x:f>IF(A41="","",E41*F41*G41)</x:f>
      </x:c>
      <x:c r="I41" s="30"/>
      <x:c r="J41" s="30"/>
      <x:c r="K41" s="30"/>
      <x:c r="L41" s="38" t="str">
        <x:f>IF(A41="","",H41-I41-J41-K41)</x:f>
      </x:c>
      <x:c r="M41" s="30"/>
      <x:c r="N41" s="30"/>
      <x:c r="O41" s="41" t="str">
        <x:f>IF(A41="","",IF(M41=0,0,N41/M41))</x:f>
      </x:c>
      <x:c r="P41" s="39"/>
      <x:c r="Q41" s="25"/>
      <x:c r="R41" s="25"/>
    </x:row>
    <x:row r="42">
      <x:c r="A42" s="25"/>
      <x:c r="B42" s="25"/>
      <x:c r="C42" s="25"/>
      <x:c r="D42" s="25"/>
      <x:c r="E42" s="30"/>
      <x:c r="F42" s="40"/>
      <x:c r="G42" s="40"/>
      <x:c r="H42" s="38" t="str">
        <x:f>IF(A42="","",E42*F42*G42)</x:f>
      </x:c>
      <x:c r="I42" s="30"/>
      <x:c r="J42" s="30"/>
      <x:c r="K42" s="30"/>
      <x:c r="L42" s="38" t="str">
        <x:f>IF(A42="","",H42-I42-J42-K42)</x:f>
      </x:c>
      <x:c r="M42" s="30"/>
      <x:c r="N42" s="30"/>
      <x:c r="O42" s="41" t="str">
        <x:f>IF(A42="","",IF(M42=0,0,N42/M42))</x:f>
      </x:c>
      <x:c r="P42" s="39"/>
      <x:c r="Q42" s="25"/>
      <x:c r="R42" s="25"/>
    </x:row>
    <x:row r="43">
      <x:c r="A43" s="25"/>
      <x:c r="B43" s="25"/>
      <x:c r="C43" s="25"/>
      <x:c r="D43" s="25"/>
      <x:c r="E43" s="30"/>
      <x:c r="F43" s="40"/>
      <x:c r="G43" s="40"/>
      <x:c r="H43" s="38" t="str">
        <x:f>IF(A43="","",E43*F43*G43)</x:f>
      </x:c>
      <x:c r="I43" s="30"/>
      <x:c r="J43" s="30"/>
      <x:c r="K43" s="30"/>
      <x:c r="L43" s="38" t="str">
        <x:f>IF(A43="","",H43-I43-J43-K43)</x:f>
      </x:c>
      <x:c r="M43" s="30"/>
      <x:c r="N43" s="30"/>
      <x:c r="O43" s="41" t="str">
        <x:f>IF(A43="","",IF(M43=0,0,N43/M43))</x:f>
      </x:c>
      <x:c r="P43" s="39"/>
      <x:c r="Q43" s="25"/>
      <x:c r="R43" s="25"/>
    </x:row>
    <x:row r="44">
      <x:c r="A44" s="25"/>
      <x:c r="B44" s="25"/>
      <x:c r="C44" s="25"/>
      <x:c r="D44" s="25"/>
      <x:c r="E44" s="30"/>
      <x:c r="F44" s="40"/>
      <x:c r="G44" s="40"/>
      <x:c r="H44" s="38" t="str">
        <x:f>IF(A44="","",E44*F44*G44)</x:f>
      </x:c>
      <x:c r="I44" s="30"/>
      <x:c r="J44" s="30"/>
      <x:c r="K44" s="30"/>
      <x:c r="L44" s="38" t="str">
        <x:f>IF(A44="","",H44-I44-J44-K44)</x:f>
      </x:c>
      <x:c r="M44" s="30"/>
      <x:c r="N44" s="30"/>
      <x:c r="O44" s="41" t="str">
        <x:f>IF(A44="","",IF(M44=0,0,N44/M44))</x:f>
      </x:c>
      <x:c r="P44" s="39"/>
      <x:c r="Q44" s="25"/>
      <x:c r="R44" s="25"/>
    </x:row>
    <x:row r="45">
      <x:c r="A45" s="25"/>
      <x:c r="B45" s="25"/>
      <x:c r="C45" s="25"/>
      <x:c r="D45" s="25"/>
      <x:c r="E45" s="30"/>
      <x:c r="F45" s="40"/>
      <x:c r="G45" s="40"/>
      <x:c r="H45" s="38" t="str">
        <x:f>IF(A45="","",E45*F45*G45)</x:f>
      </x:c>
      <x:c r="I45" s="30"/>
      <x:c r="J45" s="30"/>
      <x:c r="K45" s="30"/>
      <x:c r="L45" s="38" t="str">
        <x:f>IF(A45="","",H45-I45-J45-K45)</x:f>
      </x:c>
      <x:c r="M45" s="30"/>
      <x:c r="N45" s="30"/>
      <x:c r="O45" s="41" t="str">
        <x:f>IF(A45="","",IF(M45=0,0,N45/M45))</x:f>
      </x:c>
      <x:c r="P45" s="39"/>
      <x:c r="Q45" s="25"/>
      <x:c r="R45" s="25"/>
    </x:row>
    <x:row r="46">
      <x:c r="A46" s="25"/>
      <x:c r="B46" s="25"/>
      <x:c r="C46" s="25"/>
      <x:c r="D46" s="25"/>
      <x:c r="E46" s="30"/>
      <x:c r="F46" s="40"/>
      <x:c r="G46" s="40"/>
      <x:c r="H46" s="38" t="str">
        <x:f>IF(A46="","",E46*F46*G46)</x:f>
      </x:c>
      <x:c r="I46" s="30"/>
      <x:c r="J46" s="30"/>
      <x:c r="K46" s="30"/>
      <x:c r="L46" s="38" t="str">
        <x:f>IF(A46="","",H46-I46-J46-K46)</x:f>
      </x:c>
      <x:c r="M46" s="30"/>
      <x:c r="N46" s="30"/>
      <x:c r="O46" s="41" t="str">
        <x:f>IF(A46="","",IF(M46=0,0,N46/M46))</x:f>
      </x:c>
      <x:c r="P46" s="39"/>
      <x:c r="Q46" s="25"/>
      <x:c r="R46" s="25"/>
    </x:row>
    <x:row r="47">
      <x:c r="A47" s="25"/>
      <x:c r="B47" s="25"/>
      <x:c r="C47" s="25"/>
      <x:c r="D47" s="25"/>
      <x:c r="E47" s="30"/>
      <x:c r="F47" s="40"/>
      <x:c r="G47" s="40"/>
      <x:c r="H47" s="38" t="str">
        <x:f>IF(A47="","",E47*F47*G47)</x:f>
      </x:c>
      <x:c r="I47" s="30"/>
      <x:c r="J47" s="30"/>
      <x:c r="K47" s="30"/>
      <x:c r="L47" s="38" t="str">
        <x:f>IF(A47="","",H47-I47-J47-K47)</x:f>
      </x:c>
      <x:c r="M47" s="30"/>
      <x:c r="N47" s="30"/>
      <x:c r="O47" s="41" t="str">
        <x:f>IF(A47="","",IF(M47=0,0,N47/M47))</x:f>
      </x:c>
      <x:c r="P47" s="39"/>
      <x:c r="Q47" s="25"/>
      <x:c r="R47" s="25"/>
    </x:row>
    <x:row r="48">
      <x:c r="A48" s="25"/>
      <x:c r="B48" s="25"/>
      <x:c r="C48" s="25"/>
      <x:c r="D48" s="25"/>
      <x:c r="E48" s="30"/>
      <x:c r="F48" s="40"/>
      <x:c r="G48" s="40"/>
      <x:c r="H48" s="38" t="str">
        <x:f>IF(A48="","",E48*F48*G48)</x:f>
      </x:c>
      <x:c r="I48" s="30"/>
      <x:c r="J48" s="30"/>
      <x:c r="K48" s="30"/>
      <x:c r="L48" s="38" t="str">
        <x:f>IF(A48="","",H48-I48-J48-K48)</x:f>
      </x:c>
      <x:c r="M48" s="30"/>
      <x:c r="N48" s="30"/>
      <x:c r="O48" s="41" t="str">
        <x:f>IF(A48="","",IF(M48=0,0,N48/M48))</x:f>
      </x:c>
      <x:c r="P48" s="39"/>
      <x:c r="Q48" s="25"/>
      <x:c r="R48" s="25"/>
    </x:row>
    <x:row r="49">
      <x:c r="A49" s="25"/>
      <x:c r="B49" s="25"/>
      <x:c r="C49" s="25"/>
      <x:c r="D49" s="25"/>
      <x:c r="E49" s="30"/>
      <x:c r="F49" s="40"/>
      <x:c r="G49" s="40"/>
      <x:c r="H49" s="38" t="str">
        <x:f>IF(A49="","",E49*F49*G49)</x:f>
      </x:c>
      <x:c r="I49" s="30"/>
      <x:c r="J49" s="30"/>
      <x:c r="K49" s="30"/>
      <x:c r="L49" s="38" t="str">
        <x:f>IF(A49="","",H49-I49-J49-K49)</x:f>
      </x:c>
      <x:c r="M49" s="30"/>
      <x:c r="N49" s="30"/>
      <x:c r="O49" s="41" t="str">
        <x:f>IF(A49="","",IF(M49=0,0,N49/M49))</x:f>
      </x:c>
      <x:c r="P49" s="39"/>
      <x:c r="Q49" s="25"/>
      <x:c r="R49" s="25"/>
    </x:row>
    <x:row r="50">
      <x:c r="A50" s="25"/>
      <x:c r="B50" s="25"/>
      <x:c r="C50" s="25"/>
      <x:c r="D50" s="25"/>
      <x:c r="E50" s="30"/>
      <x:c r="F50" s="40"/>
      <x:c r="G50" s="40"/>
      <x:c r="H50" s="38" t="str">
        <x:f>IF(A50="","",E50*F50*G50)</x:f>
      </x:c>
      <x:c r="I50" s="30"/>
      <x:c r="J50" s="30"/>
      <x:c r="K50" s="30"/>
      <x:c r="L50" s="38" t="str">
        <x:f>IF(A50="","",H50-I50-J50-K50)</x:f>
      </x:c>
      <x:c r="M50" s="30"/>
      <x:c r="N50" s="30"/>
      <x:c r="O50" s="41" t="str">
        <x:f>IF(A50="","",IF(M50=0,0,N50/M50))</x:f>
      </x:c>
      <x:c r="P50" s="39"/>
      <x:c r="Q50" s="25"/>
      <x:c r="R50" s="25"/>
    </x:row>
    <x:row r="51">
      <x:c r="A51" s="25"/>
      <x:c r="B51" s="25"/>
      <x:c r="C51" s="25"/>
      <x:c r="D51" s="25"/>
      <x:c r="E51" s="30"/>
      <x:c r="F51" s="40"/>
      <x:c r="G51" s="40"/>
      <x:c r="H51" s="38" t="str">
        <x:f>IF(A51="","",E51*F51*G51)</x:f>
      </x:c>
      <x:c r="I51" s="30"/>
      <x:c r="J51" s="30"/>
      <x:c r="K51" s="30"/>
      <x:c r="L51" s="38" t="str">
        <x:f>IF(A51="","",H51-I51-J51-K51)</x:f>
      </x:c>
      <x:c r="M51" s="30"/>
      <x:c r="N51" s="30"/>
      <x:c r="O51" s="41" t="str">
        <x:f>IF(A51="","",IF(M51=0,0,N51/M51))</x:f>
      </x:c>
      <x:c r="P51" s="39"/>
      <x:c r="Q51" s="25"/>
      <x:c r="R51" s="25"/>
    </x:row>
    <x:row r="52">
      <x:c r="A52" s="25"/>
      <x:c r="B52" s="25"/>
      <x:c r="C52" s="25"/>
      <x:c r="D52" s="25"/>
      <x:c r="E52" s="30"/>
      <x:c r="F52" s="40"/>
      <x:c r="G52" s="40"/>
      <x:c r="H52" s="38" t="str">
        <x:f>IF(A52="","",E52*F52*G52)</x:f>
      </x:c>
      <x:c r="I52" s="30"/>
      <x:c r="J52" s="30"/>
      <x:c r="K52" s="30"/>
      <x:c r="L52" s="38" t="str">
        <x:f>IF(A52="","",H52-I52-J52-K52)</x:f>
      </x:c>
      <x:c r="M52" s="30"/>
      <x:c r="N52" s="30"/>
      <x:c r="O52" s="41" t="str">
        <x:f>IF(A52="","",IF(M52=0,0,N52/M52))</x:f>
      </x:c>
      <x:c r="P52" s="39"/>
      <x:c r="Q52" s="25"/>
      <x:c r="R52" s="25"/>
    </x:row>
    <x:row r="53">
      <x:c r="A53" s="25"/>
      <x:c r="B53" s="25"/>
      <x:c r="C53" s="25"/>
      <x:c r="D53" s="25"/>
      <x:c r="E53" s="30"/>
      <x:c r="F53" s="40"/>
      <x:c r="G53" s="40"/>
      <x:c r="H53" s="38" t="str">
        <x:f>IF(A53="","",E53*F53*G53)</x:f>
      </x:c>
      <x:c r="I53" s="30"/>
      <x:c r="J53" s="30"/>
      <x:c r="K53" s="30"/>
      <x:c r="L53" s="38" t="str">
        <x:f>IF(A53="","",H53-I53-J53-K53)</x:f>
      </x:c>
      <x:c r="M53" s="30"/>
      <x:c r="N53" s="30"/>
      <x:c r="O53" s="41" t="str">
        <x:f>IF(A53="","",IF(M53=0,0,N53/M53))</x:f>
      </x:c>
      <x:c r="P53" s="39"/>
      <x:c r="Q53" s="25"/>
      <x:c r="R53" s="25"/>
    </x:row>
    <x:row r="54">
      <x:c r="A54" s="25"/>
      <x:c r="B54" s="25"/>
      <x:c r="C54" s="25"/>
      <x:c r="D54" s="25"/>
      <x:c r="E54" s="30"/>
      <x:c r="F54" s="40"/>
      <x:c r="G54" s="40"/>
      <x:c r="H54" s="38" t="str">
        <x:f>IF(A54="","",E54*F54*G54)</x:f>
      </x:c>
      <x:c r="I54" s="30"/>
      <x:c r="J54" s="30"/>
      <x:c r="K54" s="30"/>
      <x:c r="L54" s="38" t="str">
        <x:f>IF(A54="","",H54-I54-J54-K54)</x:f>
      </x:c>
      <x:c r="M54" s="30"/>
      <x:c r="N54" s="30"/>
      <x:c r="O54" s="41" t="str">
        <x:f>IF(A54="","",IF(M54=0,0,N54/M54))</x:f>
      </x:c>
      <x:c r="P54" s="39"/>
      <x:c r="Q54" s="25"/>
      <x:c r="R54" s="25"/>
    </x:row>
    <x:row r="55">
      <x:c r="A55" s="25"/>
      <x:c r="B55" s="25"/>
      <x:c r="C55" s="25"/>
      <x:c r="D55" s="25"/>
      <x:c r="E55" s="30"/>
      <x:c r="F55" s="40"/>
      <x:c r="G55" s="40"/>
      <x:c r="H55" s="38" t="str">
        <x:f>IF(A55="","",E55*F55*G55)</x:f>
      </x:c>
      <x:c r="I55" s="30"/>
      <x:c r="J55" s="30"/>
      <x:c r="K55" s="30"/>
      <x:c r="L55" s="38" t="str">
        <x:f>IF(A55="","",H55-I55-J55-K55)</x:f>
      </x:c>
      <x:c r="M55" s="30"/>
      <x:c r="N55" s="30"/>
      <x:c r="O55" s="41" t="str">
        <x:f>IF(A55="","",IF(M55=0,0,N55/M55))</x:f>
      </x:c>
      <x:c r="P55" s="39"/>
      <x:c r="Q55" s="25"/>
      <x:c r="R55" s="25"/>
    </x:row>
    <x:row r="56">
      <x:c r="A56" s="25"/>
      <x:c r="B56" s="25"/>
      <x:c r="C56" s="25"/>
      <x:c r="D56" s="25"/>
      <x:c r="E56" s="30"/>
      <x:c r="F56" s="40"/>
      <x:c r="G56" s="40"/>
      <x:c r="H56" s="38" t="str">
        <x:f>IF(A56="","",E56*F56*G56)</x:f>
      </x:c>
      <x:c r="I56" s="30"/>
      <x:c r="J56" s="30"/>
      <x:c r="K56" s="30"/>
      <x:c r="L56" s="38" t="str">
        <x:f>IF(A56="","",H56-I56-J56-K56)</x:f>
      </x:c>
      <x:c r="M56" s="30"/>
      <x:c r="N56" s="30"/>
      <x:c r="O56" s="41" t="str">
        <x:f>IF(A56="","",IF(M56=0,0,N56/M56))</x:f>
      </x:c>
      <x:c r="P56" s="39"/>
      <x:c r="Q56" s="25"/>
      <x:c r="R56" s="25"/>
    </x:row>
    <x:row r="57">
      <x:c r="A57" s="25"/>
      <x:c r="B57" s="25"/>
      <x:c r="C57" s="25"/>
      <x:c r="D57" s="25"/>
      <x:c r="E57" s="30"/>
      <x:c r="F57" s="40"/>
      <x:c r="G57" s="40"/>
      <x:c r="H57" s="38" t="str">
        <x:f>IF(A57="","",E57*F57*G57)</x:f>
      </x:c>
      <x:c r="I57" s="30"/>
      <x:c r="J57" s="30"/>
      <x:c r="K57" s="30"/>
      <x:c r="L57" s="38" t="str">
        <x:f>IF(A57="","",H57-I57-J57-K57)</x:f>
      </x:c>
      <x:c r="M57" s="30"/>
      <x:c r="N57" s="30"/>
      <x:c r="O57" s="41" t="str">
        <x:f>IF(A57="","",IF(M57=0,0,N57/M57))</x:f>
      </x:c>
      <x:c r="P57" s="39"/>
      <x:c r="Q57" s="25"/>
      <x:c r="R57" s="25"/>
    </x:row>
    <x:row r="58">
      <x:c r="A58" s="25"/>
      <x:c r="B58" s="25"/>
      <x:c r="C58" s="25"/>
      <x:c r="D58" s="25"/>
      <x:c r="E58" s="30"/>
      <x:c r="F58" s="40"/>
      <x:c r="G58" s="40"/>
      <x:c r="H58" s="38" t="str">
        <x:f>IF(A58="","",E58*F58*G58)</x:f>
      </x:c>
      <x:c r="I58" s="30"/>
      <x:c r="J58" s="30"/>
      <x:c r="K58" s="30"/>
      <x:c r="L58" s="38" t="str">
        <x:f>IF(A58="","",H58-I58-J58-K58)</x:f>
      </x:c>
      <x:c r="M58" s="30"/>
      <x:c r="N58" s="30"/>
      <x:c r="O58" s="41" t="str">
        <x:f>IF(A58="","",IF(M58=0,0,N58/M58))</x:f>
      </x:c>
      <x:c r="P58" s="39"/>
      <x:c r="Q58" s="25"/>
      <x:c r="R58" s="25"/>
    </x:row>
    <x:row r="59">
      <x:c r="A59" s="25"/>
      <x:c r="B59" s="25"/>
      <x:c r="C59" s="25"/>
      <x:c r="D59" s="25"/>
      <x:c r="E59" s="30"/>
      <x:c r="F59" s="40"/>
      <x:c r="G59" s="40"/>
      <x:c r="H59" s="38" t="str">
        <x:f>IF(A59="","",E59*F59*G59)</x:f>
      </x:c>
      <x:c r="I59" s="30"/>
      <x:c r="J59" s="30"/>
      <x:c r="K59" s="30"/>
      <x:c r="L59" s="38" t="str">
        <x:f>IF(A59="","",H59-I59-J59-K59)</x:f>
      </x:c>
      <x:c r="M59" s="30"/>
      <x:c r="N59" s="30"/>
      <x:c r="O59" s="41" t="str">
        <x:f>IF(A59="","",IF(M59=0,0,N59/M59))</x:f>
      </x:c>
      <x:c r="P59" s="39"/>
      <x:c r="Q59" s="25"/>
      <x:c r="R59" s="25"/>
    </x:row>
    <x:row r="60">
      <x:c r="A60" s="25"/>
      <x:c r="B60" s="25"/>
      <x:c r="C60" s="25"/>
      <x:c r="D60" s="25"/>
      <x:c r="E60" s="30"/>
      <x:c r="F60" s="40"/>
      <x:c r="G60" s="40"/>
      <x:c r="H60" s="38" t="str">
        <x:f>IF(A60="","",E60*F60*G60)</x:f>
      </x:c>
      <x:c r="I60" s="30"/>
      <x:c r="J60" s="30"/>
      <x:c r="K60" s="30"/>
      <x:c r="L60" s="38" t="str">
        <x:f>IF(A60="","",H60-I60-J60-K60)</x:f>
      </x:c>
      <x:c r="M60" s="30"/>
      <x:c r="N60" s="30"/>
      <x:c r="O60" s="41" t="str">
        <x:f>IF(A60="","",IF(M60=0,0,N60/M60))</x:f>
      </x:c>
      <x:c r="P60" s="39"/>
      <x:c r="Q60" s="25"/>
      <x:c r="R60" s="25"/>
    </x:row>
    <x:row r="61">
      <x:c r="A61" s="25"/>
      <x:c r="B61" s="25"/>
      <x:c r="C61" s="25"/>
      <x:c r="D61" s="25"/>
      <x:c r="E61" s="30"/>
      <x:c r="F61" s="40"/>
      <x:c r="G61" s="40"/>
      <x:c r="H61" s="38" t="str">
        <x:f>IF(A61="","",E61*F61*G61)</x:f>
      </x:c>
      <x:c r="I61" s="30"/>
      <x:c r="J61" s="30"/>
      <x:c r="K61" s="30"/>
      <x:c r="L61" s="38" t="str">
        <x:f>IF(A61="","",H61-I61-J61-K61)</x:f>
      </x:c>
      <x:c r="M61" s="30"/>
      <x:c r="N61" s="30"/>
      <x:c r="O61" s="41" t="str">
        <x:f>IF(A61="","",IF(M61=0,0,N61/M61))</x:f>
      </x:c>
      <x:c r="P61" s="39"/>
      <x:c r="Q61" s="25"/>
      <x:c r="R61" s="25"/>
    </x:row>
    <x:row r="62">
      <x:c r="A62" s="25"/>
      <x:c r="B62" s="25"/>
      <x:c r="C62" s="25"/>
      <x:c r="D62" s="25"/>
      <x:c r="E62" s="30"/>
      <x:c r="F62" s="40"/>
      <x:c r="G62" s="40"/>
      <x:c r="H62" s="38" t="str">
        <x:f>IF(A62="","",E62*F62*G62)</x:f>
      </x:c>
      <x:c r="I62" s="30"/>
      <x:c r="J62" s="30"/>
      <x:c r="K62" s="30"/>
      <x:c r="L62" s="38" t="str">
        <x:f>IF(A62="","",H62-I62-J62-K62)</x:f>
      </x:c>
      <x:c r="M62" s="30"/>
      <x:c r="N62" s="30"/>
      <x:c r="O62" s="41" t="str">
        <x:f>IF(A62="","",IF(M62=0,0,N62/M62))</x:f>
      </x:c>
      <x:c r="P62" s="39"/>
      <x:c r="Q62" s="25"/>
      <x:c r="R62" s="25"/>
    </x:row>
    <x:row r="63">
      <x:c r="A63" s="25"/>
      <x:c r="B63" s="25"/>
      <x:c r="C63" s="25"/>
      <x:c r="D63" s="25"/>
      <x:c r="E63" s="30"/>
      <x:c r="F63" s="40"/>
      <x:c r="G63" s="40"/>
      <x:c r="H63" s="38" t="str">
        <x:f>IF(A63="","",E63*F63*G63)</x:f>
      </x:c>
      <x:c r="I63" s="30"/>
      <x:c r="J63" s="30"/>
      <x:c r="K63" s="30"/>
      <x:c r="L63" s="38" t="str">
        <x:f>IF(A63="","",H63-I63-J63-K63)</x:f>
      </x:c>
      <x:c r="M63" s="30"/>
      <x:c r="N63" s="30"/>
      <x:c r="O63" s="41" t="str">
        <x:f>IF(A63="","",IF(M63=0,0,N63/M63))</x:f>
      </x:c>
      <x:c r="P63" s="39"/>
      <x:c r="Q63" s="25"/>
      <x:c r="R63" s="25"/>
    </x:row>
    <x:row r="64">
      <x:c r="A64" s="25"/>
      <x:c r="B64" s="25"/>
      <x:c r="C64" s="25"/>
      <x:c r="D64" s="25"/>
      <x:c r="E64" s="30"/>
      <x:c r="F64" s="40"/>
      <x:c r="G64" s="40"/>
      <x:c r="H64" s="38" t="str">
        <x:f>IF(A64="","",E64*F64*G64)</x:f>
      </x:c>
      <x:c r="I64" s="30"/>
      <x:c r="J64" s="30"/>
      <x:c r="K64" s="30"/>
      <x:c r="L64" s="38" t="str">
        <x:f>IF(A64="","",H64-I64-J64-K64)</x:f>
      </x:c>
      <x:c r="M64" s="30"/>
      <x:c r="N64" s="30"/>
      <x:c r="O64" s="41" t="str">
        <x:f>IF(A64="","",IF(M64=0,0,N64/M64))</x:f>
      </x:c>
      <x:c r="P64" s="39"/>
      <x:c r="Q64" s="25"/>
      <x:c r="R64" s="25"/>
    </x:row>
    <x:row r="65">
      <x:c r="A65" s="25"/>
      <x:c r="B65" s="25"/>
      <x:c r="C65" s="25"/>
      <x:c r="D65" s="25"/>
      <x:c r="E65" s="30"/>
      <x:c r="F65" s="40"/>
      <x:c r="G65" s="40"/>
      <x:c r="H65" s="38" t="str">
        <x:f>IF(A65="","",E65*F65*G65)</x:f>
      </x:c>
      <x:c r="I65" s="30"/>
      <x:c r="J65" s="30"/>
      <x:c r="K65" s="30"/>
      <x:c r="L65" s="38" t="str">
        <x:f>IF(A65="","",H65-I65-J65-K65)</x:f>
      </x:c>
      <x:c r="M65" s="30"/>
      <x:c r="N65" s="30"/>
      <x:c r="O65" s="41" t="str">
        <x:f>IF(A65="","",IF(M65=0,0,N65/M65))</x:f>
      </x:c>
      <x:c r="P65" s="39"/>
      <x:c r="Q65" s="25"/>
      <x:c r="R65" s="25"/>
    </x:row>
    <x:row r="66">
      <x:c r="A66" s="25"/>
      <x:c r="B66" s="25"/>
      <x:c r="C66" s="25"/>
      <x:c r="D66" s="25"/>
      <x:c r="E66" s="30"/>
      <x:c r="F66" s="40"/>
      <x:c r="G66" s="40"/>
      <x:c r="H66" s="38" t="str">
        <x:f>IF(A66="","",E66*F66*G66)</x:f>
      </x:c>
      <x:c r="I66" s="30"/>
      <x:c r="J66" s="30"/>
      <x:c r="K66" s="30"/>
      <x:c r="L66" s="38" t="str">
        <x:f>IF(A66="","",H66-I66-J66-K66)</x:f>
      </x:c>
      <x:c r="M66" s="30"/>
      <x:c r="N66" s="30"/>
      <x:c r="O66" s="41" t="str">
        <x:f>IF(A66="","",IF(M66=0,0,N66/M66))</x:f>
      </x:c>
      <x:c r="P66" s="39"/>
      <x:c r="Q66" s="25"/>
      <x:c r="R66" s="25"/>
    </x:row>
    <x:row r="67">
      <x:c r="A67" s="25"/>
      <x:c r="B67" s="25"/>
      <x:c r="C67" s="25"/>
      <x:c r="D67" s="25"/>
      <x:c r="E67" s="30"/>
      <x:c r="F67" s="40"/>
      <x:c r="G67" s="40"/>
      <x:c r="H67" s="38" t="str">
        <x:f>IF(A67="","",E67*F67*G67)</x:f>
      </x:c>
      <x:c r="I67" s="30"/>
      <x:c r="J67" s="30"/>
      <x:c r="K67" s="30"/>
      <x:c r="L67" s="38" t="str">
        <x:f>IF(A67="","",H67-I67-J67-K67)</x:f>
      </x:c>
      <x:c r="M67" s="30"/>
      <x:c r="N67" s="30"/>
      <x:c r="O67" s="41" t="str">
        <x:f>IF(A67="","",IF(M67=0,0,N67/M67))</x:f>
      </x:c>
      <x:c r="P67" s="39"/>
      <x:c r="Q67" s="25"/>
      <x:c r="R67" s="25"/>
    </x:row>
    <x:row r="68">
      <x:c r="A68" s="25"/>
      <x:c r="B68" s="25"/>
      <x:c r="C68" s="25"/>
      <x:c r="D68" s="25"/>
      <x:c r="E68" s="30"/>
      <x:c r="F68" s="40"/>
      <x:c r="G68" s="40"/>
      <x:c r="H68" s="38" t="str">
        <x:f>IF(A68="","",E68*F68*G68)</x:f>
      </x:c>
      <x:c r="I68" s="30"/>
      <x:c r="J68" s="30"/>
      <x:c r="K68" s="30"/>
      <x:c r="L68" s="38" t="str">
        <x:f>IF(A68="","",H68-I68-J68-K68)</x:f>
      </x:c>
      <x:c r="M68" s="30"/>
      <x:c r="N68" s="30"/>
      <x:c r="O68" s="41" t="str">
        <x:f>IF(A68="","",IF(M68=0,0,N68/M68))</x:f>
      </x:c>
      <x:c r="P68" s="39"/>
      <x:c r="Q68" s="25"/>
      <x:c r="R68" s="25"/>
    </x:row>
    <x:row r="69">
      <x:c r="A69" s="25"/>
      <x:c r="B69" s="25"/>
      <x:c r="C69" s="25"/>
      <x:c r="D69" s="25"/>
      <x:c r="E69" s="30"/>
      <x:c r="F69" s="40"/>
      <x:c r="G69" s="40"/>
      <x:c r="H69" s="38" t="str">
        <x:f>IF(A69="","",E69*F69*G69)</x:f>
      </x:c>
      <x:c r="I69" s="30"/>
      <x:c r="J69" s="30"/>
      <x:c r="K69" s="30"/>
      <x:c r="L69" s="38" t="str">
        <x:f>IF(A69="","",H69-I69-J69-K69)</x:f>
      </x:c>
      <x:c r="M69" s="30"/>
      <x:c r="N69" s="30"/>
      <x:c r="O69" s="41" t="str">
        <x:f>IF(A69="","",IF(M69=0,0,N69/M69))</x:f>
      </x:c>
      <x:c r="P69" s="39"/>
      <x:c r="Q69" s="25"/>
      <x:c r="R69" s="25"/>
    </x:row>
    <x:row r="70">
      <x:c r="A70" s="25"/>
      <x:c r="B70" s="25"/>
      <x:c r="C70" s="25"/>
      <x:c r="D70" s="25"/>
      <x:c r="E70" s="30"/>
      <x:c r="F70" s="40"/>
      <x:c r="G70" s="40"/>
      <x:c r="H70" s="38" t="str">
        <x:f>IF(A70="","",E70*F70*G70)</x:f>
      </x:c>
      <x:c r="I70" s="30"/>
      <x:c r="J70" s="30"/>
      <x:c r="K70" s="30"/>
      <x:c r="L70" s="38" t="str">
        <x:f>IF(A70="","",H70-I70-J70-K70)</x:f>
      </x:c>
      <x:c r="M70" s="30"/>
      <x:c r="N70" s="30"/>
      <x:c r="O70" s="41" t="str">
        <x:f>IF(A70="","",IF(M70=0,0,N70/M70))</x:f>
      </x:c>
      <x:c r="P70" s="39"/>
      <x:c r="Q70" s="25"/>
      <x:c r="R70" s="25"/>
    </x:row>
    <x:row r="71">
      <x:c r="A71" s="25"/>
      <x:c r="B71" s="25"/>
      <x:c r="C71" s="25"/>
      <x:c r="D71" s="25"/>
      <x:c r="E71" s="30"/>
      <x:c r="F71" s="40"/>
      <x:c r="G71" s="40"/>
      <x:c r="H71" s="38" t="str">
        <x:f>IF(A71="","",E71*F71*G71)</x:f>
      </x:c>
      <x:c r="I71" s="30"/>
      <x:c r="J71" s="30"/>
      <x:c r="K71" s="30"/>
      <x:c r="L71" s="38" t="str">
        <x:f>IF(A71="","",H71-I71-J71-K71)</x:f>
      </x:c>
      <x:c r="M71" s="30"/>
      <x:c r="N71" s="30"/>
      <x:c r="O71" s="41" t="str">
        <x:f>IF(A71="","",IF(M71=0,0,N71/M71))</x:f>
      </x:c>
      <x:c r="P71" s="39"/>
      <x:c r="Q71" s="25"/>
      <x:c r="R71" s="25"/>
    </x:row>
    <x:row r="72">
      <x:c r="A72" s="25"/>
      <x:c r="B72" s="25"/>
      <x:c r="C72" s="25"/>
      <x:c r="D72" s="25"/>
      <x:c r="E72" s="30"/>
      <x:c r="F72" s="40"/>
      <x:c r="G72" s="40"/>
      <x:c r="H72" s="38" t="str">
        <x:f>IF(A72="","",E72*F72*G72)</x:f>
      </x:c>
      <x:c r="I72" s="30"/>
      <x:c r="J72" s="30"/>
      <x:c r="K72" s="30"/>
      <x:c r="L72" s="38" t="str">
        <x:f>IF(A72="","",H72-I72-J72-K72)</x:f>
      </x:c>
      <x:c r="M72" s="30"/>
      <x:c r="N72" s="30"/>
      <x:c r="O72" s="41" t="str">
        <x:f>IF(A72="","",IF(M72=0,0,N72/M72))</x:f>
      </x:c>
      <x:c r="P72" s="39"/>
      <x:c r="Q72" s="25"/>
      <x:c r="R72" s="25"/>
    </x:row>
    <x:row r="73">
      <x:c r="A73" s="25"/>
      <x:c r="B73" s="25"/>
      <x:c r="C73" s="25"/>
      <x:c r="D73" s="25"/>
      <x:c r="E73" s="30"/>
      <x:c r="F73" s="40"/>
      <x:c r="G73" s="40"/>
      <x:c r="H73" s="38" t="str">
        <x:f>IF(A73="","",E73*F73*G73)</x:f>
      </x:c>
      <x:c r="I73" s="30"/>
      <x:c r="J73" s="30"/>
      <x:c r="K73" s="30"/>
      <x:c r="L73" s="38" t="str">
        <x:f>IF(A73="","",H73-I73-J73-K73)</x:f>
      </x:c>
      <x:c r="M73" s="30"/>
      <x:c r="N73" s="30"/>
      <x:c r="O73" s="41" t="str">
        <x:f>IF(A73="","",IF(M73=0,0,N73/M73))</x:f>
      </x:c>
      <x:c r="P73" s="39"/>
      <x:c r="Q73" s="25"/>
      <x:c r="R73" s="25"/>
    </x:row>
    <x:row r="74">
      <x:c r="A74" s="25"/>
      <x:c r="B74" s="25"/>
      <x:c r="C74" s="25"/>
      <x:c r="D74" s="25"/>
      <x:c r="E74" s="30"/>
      <x:c r="F74" s="40"/>
      <x:c r="G74" s="40"/>
      <x:c r="H74" s="38" t="str">
        <x:f>IF(A74="","",E74*F74*G74)</x:f>
      </x:c>
      <x:c r="I74" s="30"/>
      <x:c r="J74" s="30"/>
      <x:c r="K74" s="30"/>
      <x:c r="L74" s="38" t="str">
        <x:f>IF(A74="","",H74-I74-J74-K74)</x:f>
      </x:c>
      <x:c r="M74" s="30"/>
      <x:c r="N74" s="30"/>
      <x:c r="O74" s="41" t="str">
        <x:f>IF(A74="","",IF(M74=0,0,N74/M74))</x:f>
      </x:c>
      <x:c r="P74" s="39"/>
      <x:c r="Q74" s="25"/>
      <x:c r="R74" s="25"/>
    </x:row>
    <x:row r="75">
      <x:c r="A75" s="25"/>
      <x:c r="B75" s="25"/>
      <x:c r="C75" s="25"/>
      <x:c r="D75" s="25"/>
      <x:c r="E75" s="30"/>
      <x:c r="F75" s="40"/>
      <x:c r="G75" s="40"/>
      <x:c r="H75" s="38" t="str">
        <x:f>IF(A75="","",E75*F75*G75)</x:f>
      </x:c>
      <x:c r="I75" s="30"/>
      <x:c r="J75" s="30"/>
      <x:c r="K75" s="30"/>
      <x:c r="L75" s="38" t="str">
        <x:f>IF(A75="","",H75-I75-J75-K75)</x:f>
      </x:c>
      <x:c r="M75" s="30"/>
      <x:c r="N75" s="30"/>
      <x:c r="O75" s="41" t="str">
        <x:f>IF(A75="","",IF(M75=0,0,N75/M75))</x:f>
      </x:c>
      <x:c r="P75" s="39"/>
      <x:c r="Q75" s="25"/>
      <x:c r="R75" s="25"/>
    </x:row>
    <x:row r="76">
      <x:c r="A76" s="25"/>
      <x:c r="B76" s="25"/>
      <x:c r="C76" s="25"/>
      <x:c r="D76" s="25"/>
      <x:c r="E76" s="30"/>
      <x:c r="F76" s="40"/>
      <x:c r="G76" s="40"/>
      <x:c r="H76" s="38" t="str">
        <x:f>IF(A76="","",E76*F76*G76)</x:f>
      </x:c>
      <x:c r="I76" s="30"/>
      <x:c r="J76" s="30"/>
      <x:c r="K76" s="30"/>
      <x:c r="L76" s="38" t="str">
        <x:f>IF(A76="","",H76-I76-J76-K76)</x:f>
      </x:c>
      <x:c r="M76" s="30"/>
      <x:c r="N76" s="30"/>
      <x:c r="O76" s="41" t="str">
        <x:f>IF(A76="","",IF(M76=0,0,N76/M76))</x:f>
      </x:c>
      <x:c r="P76" s="39"/>
      <x:c r="Q76" s="25"/>
      <x:c r="R76" s="25"/>
    </x:row>
    <x:row r="77">
      <x:c r="A77" s="25"/>
      <x:c r="B77" s="25"/>
      <x:c r="C77" s="25"/>
      <x:c r="D77" s="25"/>
      <x:c r="E77" s="30"/>
      <x:c r="F77" s="40"/>
      <x:c r="G77" s="40"/>
      <x:c r="H77" s="38" t="str">
        <x:f>IF(A77="","",E77*F77*G77)</x:f>
      </x:c>
      <x:c r="I77" s="30"/>
      <x:c r="J77" s="30"/>
      <x:c r="K77" s="30"/>
      <x:c r="L77" s="38" t="str">
        <x:f>IF(A77="","",H77-I77-J77-K77)</x:f>
      </x:c>
      <x:c r="M77" s="30"/>
      <x:c r="N77" s="30"/>
      <x:c r="O77" s="41" t="str">
        <x:f>IF(A77="","",IF(M77=0,0,N77/M77))</x:f>
      </x:c>
      <x:c r="P77" s="39"/>
      <x:c r="Q77" s="25"/>
      <x:c r="R77" s="25"/>
    </x:row>
    <x:row r="78">
      <x:c r="A78" s="25"/>
      <x:c r="B78" s="25"/>
      <x:c r="C78" s="25"/>
      <x:c r="D78" s="25"/>
      <x:c r="E78" s="30"/>
      <x:c r="F78" s="40"/>
      <x:c r="G78" s="40"/>
      <x:c r="H78" s="38" t="str">
        <x:f>IF(A78="","",E78*F78*G78)</x:f>
      </x:c>
      <x:c r="I78" s="30"/>
      <x:c r="J78" s="30"/>
      <x:c r="K78" s="30"/>
      <x:c r="L78" s="38" t="str">
        <x:f>IF(A78="","",H78-I78-J78-K78)</x:f>
      </x:c>
      <x:c r="M78" s="30"/>
      <x:c r="N78" s="30"/>
      <x:c r="O78" s="41" t="str">
        <x:f>IF(A78="","",IF(M78=0,0,N78/M78))</x:f>
      </x:c>
      <x:c r="P78" s="39"/>
      <x:c r="Q78" s="25"/>
      <x:c r="R78" s="25"/>
    </x:row>
    <x:row r="79">
      <x:c r="A79" s="25"/>
      <x:c r="B79" s="25"/>
      <x:c r="C79" s="25"/>
      <x:c r="D79" s="25"/>
      <x:c r="E79" s="30"/>
      <x:c r="F79" s="40"/>
      <x:c r="G79" s="40"/>
      <x:c r="H79" s="38" t="str">
        <x:f>IF(A79="","",E79*F79*G79)</x:f>
      </x:c>
      <x:c r="I79" s="30"/>
      <x:c r="J79" s="30"/>
      <x:c r="K79" s="30"/>
      <x:c r="L79" s="38" t="str">
        <x:f>IF(A79="","",H79-I79-J79-K79)</x:f>
      </x:c>
      <x:c r="M79" s="30"/>
      <x:c r="N79" s="30"/>
      <x:c r="O79" s="41" t="str">
        <x:f>IF(A79="","",IF(M79=0,0,N79/M79))</x:f>
      </x:c>
      <x:c r="P79" s="39"/>
      <x:c r="Q79" s="25"/>
      <x:c r="R79" s="25"/>
    </x:row>
    <x:row r="80">
      <x:c r="A80" s="25"/>
      <x:c r="B80" s="25"/>
      <x:c r="C80" s="25"/>
      <x:c r="D80" s="25"/>
      <x:c r="E80" s="30"/>
      <x:c r="F80" s="40"/>
      <x:c r="G80" s="40"/>
      <x:c r="H80" s="38" t="str">
        <x:f>IF(A80="","",E80*F80*G80)</x:f>
      </x:c>
      <x:c r="I80" s="30"/>
      <x:c r="J80" s="30"/>
      <x:c r="K80" s="30"/>
      <x:c r="L80" s="38" t="str">
        <x:f>IF(A80="","",H80-I80-J80-K80)</x:f>
      </x:c>
      <x:c r="M80" s="30"/>
      <x:c r="N80" s="30"/>
      <x:c r="O80" s="41" t="str">
        <x:f>IF(A80="","",IF(M80=0,0,N80/M80))</x:f>
      </x:c>
      <x:c r="P80" s="39"/>
      <x:c r="Q80" s="25"/>
      <x:c r="R80" s="25"/>
    </x:row>
    <x:row r="81">
      <x:c r="A81" s="25"/>
      <x:c r="B81" s="25"/>
      <x:c r="C81" s="25"/>
      <x:c r="D81" s="25"/>
      <x:c r="E81" s="30"/>
      <x:c r="F81" s="40"/>
      <x:c r="G81" s="40"/>
      <x:c r="H81" s="38" t="str">
        <x:f>IF(A81="","",E81*F81*G81)</x:f>
      </x:c>
      <x:c r="I81" s="30"/>
      <x:c r="J81" s="30"/>
      <x:c r="K81" s="30"/>
      <x:c r="L81" s="38" t="str">
        <x:f>IF(A81="","",H81-I81-J81-K81)</x:f>
      </x:c>
      <x:c r="M81" s="30"/>
      <x:c r="N81" s="30"/>
      <x:c r="O81" s="41" t="str">
        <x:f>IF(A81="","",IF(M81=0,0,N81/M81))</x:f>
      </x:c>
      <x:c r="P81" s="39"/>
      <x:c r="Q81" s="25"/>
      <x:c r="R81" s="25"/>
    </x:row>
    <x:row r="82">
      <x:c r="A82" s="25"/>
      <x:c r="B82" s="25"/>
      <x:c r="C82" s="25"/>
      <x:c r="D82" s="25"/>
      <x:c r="E82" s="30"/>
      <x:c r="F82" s="40"/>
      <x:c r="G82" s="40"/>
      <x:c r="H82" s="38" t="str">
        <x:f>IF(A82="","",E82*F82*G82)</x:f>
      </x:c>
      <x:c r="I82" s="30"/>
      <x:c r="J82" s="30"/>
      <x:c r="K82" s="30"/>
      <x:c r="L82" s="38" t="str">
        <x:f>IF(A82="","",H82-I82-J82-K82)</x:f>
      </x:c>
      <x:c r="M82" s="30"/>
      <x:c r="N82" s="30"/>
      <x:c r="O82" s="41" t="str">
        <x:f>IF(A82="","",IF(M82=0,0,N82/M82))</x:f>
      </x:c>
      <x:c r="P82" s="39"/>
      <x:c r="Q82" s="25"/>
      <x:c r="R82" s="25"/>
    </x:row>
    <x:row r="83">
      <x:c r="A83" s="25"/>
      <x:c r="B83" s="25"/>
      <x:c r="C83" s="25"/>
      <x:c r="D83" s="25"/>
      <x:c r="E83" s="30"/>
      <x:c r="F83" s="40"/>
      <x:c r="G83" s="40"/>
      <x:c r="H83" s="38" t="str">
        <x:f>IF(A83="","",E83*F83*G83)</x:f>
      </x:c>
      <x:c r="I83" s="30"/>
      <x:c r="J83" s="30"/>
      <x:c r="K83" s="30"/>
      <x:c r="L83" s="38" t="str">
        <x:f>IF(A83="","",H83-I83-J83-K83)</x:f>
      </x:c>
      <x:c r="M83" s="30"/>
      <x:c r="N83" s="30"/>
      <x:c r="O83" s="41" t="str">
        <x:f>IF(A83="","",IF(M83=0,0,N83/M83))</x:f>
      </x:c>
      <x:c r="P83" s="39"/>
      <x:c r="Q83" s="25"/>
      <x:c r="R83" s="25"/>
    </x:row>
    <x:row r="84">
      <x:c r="A84" s="25"/>
      <x:c r="B84" s="25"/>
      <x:c r="C84" s="25"/>
      <x:c r="D84" s="25"/>
      <x:c r="E84" s="30"/>
      <x:c r="F84" s="40"/>
      <x:c r="G84" s="40"/>
      <x:c r="H84" s="38" t="str">
        <x:f>IF(A84="","",E84*F84*G84)</x:f>
      </x:c>
      <x:c r="I84" s="30"/>
      <x:c r="J84" s="30"/>
      <x:c r="K84" s="30"/>
      <x:c r="L84" s="38" t="str">
        <x:f>IF(A84="","",H84-I84-J84-K84)</x:f>
      </x:c>
      <x:c r="M84" s="30"/>
      <x:c r="N84" s="30"/>
      <x:c r="O84" s="41" t="str">
        <x:f>IF(A84="","",IF(M84=0,0,N84/M84))</x:f>
      </x:c>
      <x:c r="P84" s="39"/>
      <x:c r="Q84" s="25"/>
      <x:c r="R84" s="25"/>
    </x:row>
    <x:row r="85">
      <x:c r="A85" s="25"/>
      <x:c r="B85" s="25"/>
      <x:c r="C85" s="25"/>
      <x:c r="D85" s="25"/>
      <x:c r="E85" s="30"/>
      <x:c r="F85" s="40"/>
      <x:c r="G85" s="40"/>
      <x:c r="H85" s="38" t="str">
        <x:f>IF(A85="","",E85*F85*G85)</x:f>
      </x:c>
      <x:c r="I85" s="30"/>
      <x:c r="J85" s="30"/>
      <x:c r="K85" s="30"/>
      <x:c r="L85" s="38" t="str">
        <x:f>IF(A85="","",H85-I85-J85-K85)</x:f>
      </x:c>
      <x:c r="M85" s="30"/>
      <x:c r="N85" s="30"/>
      <x:c r="O85" s="41" t="str">
        <x:f>IF(A85="","",IF(M85=0,0,N85/M85))</x:f>
      </x:c>
      <x:c r="P85" s="39"/>
      <x:c r="Q85" s="25"/>
      <x:c r="R85" s="25"/>
    </x:row>
    <x:row r="86">
      <x:c r="A86" s="25"/>
      <x:c r="B86" s="25"/>
      <x:c r="C86" s="25"/>
      <x:c r="D86" s="25"/>
      <x:c r="E86" s="30"/>
      <x:c r="F86" s="40"/>
      <x:c r="G86" s="40"/>
      <x:c r="H86" s="38" t="str">
        <x:f>IF(A86="","",E86*F86*G86)</x:f>
      </x:c>
      <x:c r="I86" s="30"/>
      <x:c r="J86" s="30"/>
      <x:c r="K86" s="30"/>
      <x:c r="L86" s="38" t="str">
        <x:f>IF(A86="","",H86-I86-J86-K86)</x:f>
      </x:c>
      <x:c r="M86" s="30"/>
      <x:c r="N86" s="30"/>
      <x:c r="O86" s="41" t="str">
        <x:f>IF(A86="","",IF(M86=0,0,N86/M86))</x:f>
      </x:c>
      <x:c r="P86" s="39"/>
      <x:c r="Q86" s="25"/>
      <x:c r="R86" s="25"/>
    </x:row>
    <x:row r="87">
      <x:c r="A87" s="25"/>
      <x:c r="B87" s="25"/>
      <x:c r="C87" s="25"/>
      <x:c r="D87" s="25"/>
      <x:c r="E87" s="30"/>
      <x:c r="F87" s="40"/>
      <x:c r="G87" s="40"/>
      <x:c r="H87" s="38" t="str">
        <x:f>IF(A87="","",E87*F87*G87)</x:f>
      </x:c>
      <x:c r="I87" s="30"/>
      <x:c r="J87" s="30"/>
      <x:c r="K87" s="30"/>
      <x:c r="L87" s="38" t="str">
        <x:f>IF(A87="","",H87-I87-J87-K87)</x:f>
      </x:c>
      <x:c r="M87" s="30"/>
      <x:c r="N87" s="30"/>
      <x:c r="O87" s="41" t="str">
        <x:f>IF(A87="","",IF(M87=0,0,N87/M87))</x:f>
      </x:c>
      <x:c r="P87" s="39"/>
      <x:c r="Q87" s="25"/>
      <x:c r="R87" s="25"/>
    </x:row>
    <x:row r="88">
      <x:c r="A88" s="25"/>
      <x:c r="B88" s="25"/>
      <x:c r="C88" s="25"/>
      <x:c r="D88" s="25"/>
      <x:c r="E88" s="30"/>
      <x:c r="F88" s="40"/>
      <x:c r="G88" s="40"/>
      <x:c r="H88" s="38" t="str">
        <x:f>IF(A88="","",E88*F88*G88)</x:f>
      </x:c>
      <x:c r="I88" s="30"/>
      <x:c r="J88" s="30"/>
      <x:c r="K88" s="30"/>
      <x:c r="L88" s="38" t="str">
        <x:f>IF(A88="","",H88-I88-J88-K88)</x:f>
      </x:c>
      <x:c r="M88" s="30"/>
      <x:c r="N88" s="30"/>
      <x:c r="O88" s="41" t="str">
        <x:f>IF(A88="","",IF(M88=0,0,N88/M88))</x:f>
      </x:c>
      <x:c r="P88" s="39"/>
      <x:c r="Q88" s="25"/>
      <x:c r="R88" s="25"/>
    </x:row>
    <x:row r="89">
      <x:c r="A89" s="25"/>
      <x:c r="B89" s="25"/>
      <x:c r="C89" s="25"/>
      <x:c r="D89" s="25"/>
      <x:c r="E89" s="30"/>
      <x:c r="F89" s="40"/>
      <x:c r="G89" s="40"/>
      <x:c r="H89" s="38" t="str">
        <x:f>IF(A89="","",E89*F89*G89)</x:f>
      </x:c>
      <x:c r="I89" s="30"/>
      <x:c r="J89" s="30"/>
      <x:c r="K89" s="30"/>
      <x:c r="L89" s="38" t="str">
        <x:f>IF(A89="","",H89-I89-J89-K89)</x:f>
      </x:c>
      <x:c r="M89" s="30"/>
      <x:c r="N89" s="30"/>
      <x:c r="O89" s="41" t="str">
        <x:f>IF(A89="","",IF(M89=0,0,N89/M89))</x:f>
      </x:c>
      <x:c r="P89" s="39"/>
      <x:c r="Q89" s="25"/>
      <x:c r="R89" s="25"/>
    </x:row>
    <x:row r="90">
      <x:c r="A90" s="25"/>
      <x:c r="B90" s="25"/>
      <x:c r="C90" s="25"/>
      <x:c r="D90" s="25"/>
      <x:c r="E90" s="30"/>
      <x:c r="F90" s="40"/>
      <x:c r="G90" s="40"/>
      <x:c r="H90" s="38" t="str">
        <x:f>IF(A90="","",E90*F90*G90)</x:f>
      </x:c>
      <x:c r="I90" s="30"/>
      <x:c r="J90" s="30"/>
      <x:c r="K90" s="30"/>
      <x:c r="L90" s="38" t="str">
        <x:f>IF(A90="","",H90-I90-J90-K90)</x:f>
      </x:c>
      <x:c r="M90" s="30"/>
      <x:c r="N90" s="30"/>
      <x:c r="O90" s="41" t="str">
        <x:f>IF(A90="","",IF(M90=0,0,N90/M90))</x:f>
      </x:c>
      <x:c r="P90" s="39"/>
      <x:c r="Q90" s="25"/>
      <x:c r="R90" s="25"/>
    </x:row>
    <x:row r="91">
      <x:c r="A91" s="25"/>
      <x:c r="B91" s="25"/>
      <x:c r="C91" s="25"/>
      <x:c r="D91" s="25"/>
      <x:c r="E91" s="30"/>
      <x:c r="F91" s="40"/>
      <x:c r="G91" s="40"/>
      <x:c r="H91" s="38" t="str">
        <x:f>IF(A91="","",E91*F91*G91)</x:f>
      </x:c>
      <x:c r="I91" s="30"/>
      <x:c r="J91" s="30"/>
      <x:c r="K91" s="30"/>
      <x:c r="L91" s="38" t="str">
        <x:f>IF(A91="","",H91-I91-J91-K91)</x:f>
      </x:c>
      <x:c r="M91" s="30"/>
      <x:c r="N91" s="30"/>
      <x:c r="O91" s="41" t="str">
        <x:f>IF(A91="","",IF(M91=0,0,N91/M91))</x:f>
      </x:c>
      <x:c r="P91" s="39"/>
      <x:c r="Q91" s="25"/>
      <x:c r="R91" s="25"/>
    </x:row>
    <x:row r="92">
      <x:c r="A92" s="25"/>
      <x:c r="B92" s="25"/>
      <x:c r="C92" s="25"/>
      <x:c r="D92" s="25"/>
      <x:c r="E92" s="30"/>
      <x:c r="F92" s="40"/>
      <x:c r="G92" s="40"/>
      <x:c r="H92" s="38" t="str">
        <x:f>IF(A92="","",E92*F92*G92)</x:f>
      </x:c>
      <x:c r="I92" s="30"/>
      <x:c r="J92" s="30"/>
      <x:c r="K92" s="30"/>
      <x:c r="L92" s="38" t="str">
        <x:f>IF(A92="","",H92-I92-J92-K92)</x:f>
      </x:c>
      <x:c r="M92" s="30"/>
      <x:c r="N92" s="30"/>
      <x:c r="O92" s="41" t="str">
        <x:f>IF(A92="","",IF(M92=0,0,N92/M92))</x:f>
      </x:c>
      <x:c r="P92" s="39"/>
      <x:c r="Q92" s="25"/>
      <x:c r="R92" s="25"/>
    </x:row>
    <x:row r="93">
      <x:c r="A93" s="25"/>
      <x:c r="B93" s="25"/>
      <x:c r="C93" s="25"/>
      <x:c r="D93" s="25"/>
      <x:c r="E93" s="30"/>
      <x:c r="F93" s="40"/>
      <x:c r="G93" s="40"/>
      <x:c r="H93" s="38" t="str">
        <x:f>IF(A93="","",E93*F93*G93)</x:f>
      </x:c>
      <x:c r="I93" s="30"/>
      <x:c r="J93" s="30"/>
      <x:c r="K93" s="30"/>
      <x:c r="L93" s="38" t="str">
        <x:f>IF(A93="","",H93-I93-J93-K93)</x:f>
      </x:c>
      <x:c r="M93" s="30"/>
      <x:c r="N93" s="30"/>
      <x:c r="O93" s="41" t="str">
        <x:f>IF(A93="","",IF(M93=0,0,N93/M93))</x:f>
      </x:c>
      <x:c r="P93" s="39"/>
      <x:c r="Q93" s="25"/>
      <x:c r="R93" s="25"/>
    </x:row>
    <x:row r="94">
      <x:c r="A94" s="25"/>
      <x:c r="B94" s="25"/>
      <x:c r="C94" s="25"/>
      <x:c r="D94" s="25"/>
      <x:c r="E94" s="30"/>
      <x:c r="F94" s="40"/>
      <x:c r="G94" s="40"/>
      <x:c r="H94" s="38" t="str">
        <x:f>IF(A94="","",E94*F94*G94)</x:f>
      </x:c>
      <x:c r="I94" s="30"/>
      <x:c r="J94" s="30"/>
      <x:c r="K94" s="30"/>
      <x:c r="L94" s="38" t="str">
        <x:f>IF(A94="","",H94-I94-J94-K94)</x:f>
      </x:c>
      <x:c r="M94" s="30"/>
      <x:c r="N94" s="30"/>
      <x:c r="O94" s="41" t="str">
        <x:f>IF(A94="","",IF(M94=0,0,N94/M94))</x:f>
      </x:c>
      <x:c r="P94" s="39"/>
      <x:c r="Q94" s="25"/>
      <x:c r="R94" s="25"/>
    </x:row>
    <x:row r="95">
      <x:c r="A95" s="25"/>
      <x:c r="B95" s="25"/>
      <x:c r="C95" s="25"/>
      <x:c r="D95" s="25"/>
      <x:c r="E95" s="30"/>
      <x:c r="F95" s="40"/>
      <x:c r="G95" s="40"/>
      <x:c r="H95" s="38" t="str">
        <x:f>IF(A95="","",E95*F95*G95)</x:f>
      </x:c>
      <x:c r="I95" s="30"/>
      <x:c r="J95" s="30"/>
      <x:c r="K95" s="30"/>
      <x:c r="L95" s="38" t="str">
        <x:f>IF(A95="","",H95-I95-J95-K95)</x:f>
      </x:c>
      <x:c r="M95" s="30"/>
      <x:c r="N95" s="30"/>
      <x:c r="O95" s="41" t="str">
        <x:f>IF(A95="","",IF(M95=0,0,N95/M95))</x:f>
      </x:c>
      <x:c r="P95" s="39"/>
      <x:c r="Q95" s="25"/>
      <x:c r="R95" s="25"/>
    </x:row>
    <x:row r="96">
      <x:c r="A96" s="25"/>
      <x:c r="B96" s="25"/>
      <x:c r="C96" s="25"/>
      <x:c r="D96" s="25"/>
      <x:c r="E96" s="30"/>
      <x:c r="F96" s="40"/>
      <x:c r="G96" s="40"/>
      <x:c r="H96" s="38" t="str">
        <x:f>IF(A96="","",E96*F96*G96)</x:f>
      </x:c>
      <x:c r="I96" s="30"/>
      <x:c r="J96" s="30"/>
      <x:c r="K96" s="30"/>
      <x:c r="L96" s="38" t="str">
        <x:f>IF(A96="","",H96-I96-J96-K96)</x:f>
      </x:c>
      <x:c r="M96" s="30"/>
      <x:c r="N96" s="30"/>
      <x:c r="O96" s="41" t="str">
        <x:f>IF(A96="","",IF(M96=0,0,N96/M96))</x:f>
      </x:c>
      <x:c r="P96" s="39"/>
      <x:c r="Q96" s="25"/>
      <x:c r="R96" s="25"/>
    </x:row>
    <x:row r="97">
      <x:c r="A97" s="25"/>
      <x:c r="B97" s="25"/>
      <x:c r="C97" s="25"/>
      <x:c r="D97" s="25"/>
      <x:c r="E97" s="30"/>
      <x:c r="F97" s="40"/>
      <x:c r="G97" s="40"/>
      <x:c r="H97" s="38" t="str">
        <x:f>IF(A97="","",E97*F97*G97)</x:f>
      </x:c>
      <x:c r="I97" s="30"/>
      <x:c r="J97" s="30"/>
      <x:c r="K97" s="30"/>
      <x:c r="L97" s="38" t="str">
        <x:f>IF(A97="","",H97-I97-J97-K97)</x:f>
      </x:c>
      <x:c r="M97" s="30"/>
      <x:c r="N97" s="30"/>
      <x:c r="O97" s="41" t="str">
        <x:f>IF(A97="","",IF(M97=0,0,N97/M97))</x:f>
      </x:c>
      <x:c r="P97" s="39"/>
      <x:c r="Q97" s="25"/>
      <x:c r="R97" s="25"/>
    </x:row>
    <x:row r="98">
      <x:c r="A98" s="25"/>
      <x:c r="B98" s="25"/>
      <x:c r="C98" s="25"/>
      <x:c r="D98" s="25"/>
      <x:c r="E98" s="30"/>
      <x:c r="F98" s="40"/>
      <x:c r="G98" s="40"/>
      <x:c r="H98" s="38" t="str">
        <x:f>IF(A98="","",E98*F98*G98)</x:f>
      </x:c>
      <x:c r="I98" s="30"/>
      <x:c r="J98" s="30"/>
      <x:c r="K98" s="30"/>
      <x:c r="L98" s="38" t="str">
        <x:f>IF(A98="","",H98-I98-J98-K98)</x:f>
      </x:c>
      <x:c r="M98" s="30"/>
      <x:c r="N98" s="30"/>
      <x:c r="O98" s="41" t="str">
        <x:f>IF(A98="","",IF(M98=0,0,N98/M98))</x:f>
      </x:c>
      <x:c r="P98" s="39"/>
      <x:c r="Q98" s="25"/>
      <x:c r="R98" s="25"/>
    </x:row>
    <x:row r="99">
      <x:c r="A99" s="25"/>
      <x:c r="B99" s="25"/>
      <x:c r="C99" s="25"/>
      <x:c r="D99" s="25"/>
      <x:c r="E99" s="30"/>
      <x:c r="F99" s="40"/>
      <x:c r="G99" s="40"/>
      <x:c r="H99" s="38" t="str">
        <x:f>IF(A99="","",E99*F99*G99)</x:f>
      </x:c>
      <x:c r="I99" s="30"/>
      <x:c r="J99" s="30"/>
      <x:c r="K99" s="30"/>
      <x:c r="L99" s="38" t="str">
        <x:f>IF(A99="","",H99-I99-J99-K99)</x:f>
      </x:c>
      <x:c r="M99" s="30"/>
      <x:c r="N99" s="30"/>
      <x:c r="O99" s="41" t="str">
        <x:f>IF(A99="","",IF(M99=0,0,N99/M99))</x:f>
      </x:c>
      <x:c r="P99" s="39"/>
      <x:c r="Q99" s="25"/>
      <x:c r="R99" s="25"/>
    </x:row>
    <x:row r="100">
      <x:c r="A100" s="25"/>
      <x:c r="B100" s="25"/>
      <x:c r="C100" s="25"/>
      <x:c r="D100" s="25"/>
      <x:c r="E100" s="30"/>
      <x:c r="F100" s="40"/>
      <x:c r="G100" s="40"/>
      <x:c r="H100" s="38" t="str">
        <x:f>IF(A100="","",E100*F100*G100)</x:f>
      </x:c>
      <x:c r="I100" s="30"/>
      <x:c r="J100" s="30"/>
      <x:c r="K100" s="30"/>
      <x:c r="L100" s="38" t="str">
        <x:f>IF(A100="","",H100-I100-J100-K100)</x:f>
      </x:c>
      <x:c r="M100" s="30"/>
      <x:c r="N100" s="30"/>
      <x:c r="O100" s="41" t="str">
        <x:f>IF(A100="","",IF(M100=0,0,N100/M100))</x:f>
      </x:c>
      <x:c r="P100" s="39"/>
      <x:c r="Q100" s="25"/>
      <x:c r="R100" s="25"/>
    </x:row>
    <x:row r="101">
      <x:c r="A101" s="25"/>
      <x:c r="B101" s="25"/>
      <x:c r="C101" s="25"/>
      <x:c r="D101" s="25"/>
      <x:c r="E101" s="30"/>
      <x:c r="F101" s="40"/>
      <x:c r="G101" s="40"/>
      <x:c r="H101" s="38" t="str">
        <x:f>IF(A101="","",E101*F101*G101)</x:f>
      </x:c>
      <x:c r="I101" s="30"/>
      <x:c r="J101" s="30"/>
      <x:c r="K101" s="30"/>
      <x:c r="L101" s="38" t="str">
        <x:f>IF(A101="","",H101-I101-J101-K101)</x:f>
      </x:c>
      <x:c r="M101" s="30"/>
      <x:c r="N101" s="30"/>
      <x:c r="O101" s="41" t="str">
        <x:f>IF(A101="","",IF(M101=0,0,N101/M101))</x:f>
      </x:c>
      <x:c r="P101" s="39"/>
      <x:c r="Q101" s="25"/>
      <x:c r="R101" s="25"/>
    </x:row>
    <x:row r="102">
      <x:c r="A102" s="25"/>
      <x:c r="B102" s="25"/>
      <x:c r="C102" s="25"/>
      <x:c r="D102" s="25"/>
      <x:c r="E102" s="30"/>
      <x:c r="F102" s="40"/>
      <x:c r="G102" s="40"/>
      <x:c r="H102" s="38" t="str">
        <x:f>IF(A102="","",E102*F102*G102)</x:f>
      </x:c>
      <x:c r="I102" s="30"/>
      <x:c r="J102" s="30"/>
      <x:c r="K102" s="30"/>
      <x:c r="L102" s="38" t="str">
        <x:f>IF(A102="","",H102-I102-J102-K102)</x:f>
      </x:c>
      <x:c r="M102" s="30"/>
      <x:c r="N102" s="30"/>
      <x:c r="O102" s="41" t="str">
        <x:f>IF(A102="","",IF(M102=0,0,N102/M102))</x:f>
      </x:c>
      <x:c r="P102" s="39"/>
      <x:c r="Q102" s="25"/>
      <x:c r="R102" s="25"/>
    </x:row>
    <x:row r="103">
      <x:c r="A103" s="25"/>
      <x:c r="B103" s="25"/>
      <x:c r="C103" s="25"/>
      <x:c r="D103" s="25"/>
      <x:c r="E103" s="30"/>
      <x:c r="F103" s="40"/>
      <x:c r="G103" s="40"/>
      <x:c r="H103" s="38" t="str">
        <x:f>IF(A103="","",E103*F103*G103)</x:f>
      </x:c>
      <x:c r="I103" s="30"/>
      <x:c r="J103" s="30"/>
      <x:c r="K103" s="30"/>
      <x:c r="L103" s="38" t="str">
        <x:f>IF(A103="","",H103-I103-J103-K103)</x:f>
      </x:c>
      <x:c r="M103" s="30"/>
      <x:c r="N103" s="30"/>
      <x:c r="O103" s="41" t="str">
        <x:f>IF(A103="","",IF(M103=0,0,N103/M103))</x:f>
      </x:c>
      <x:c r="P103" s="39"/>
      <x:c r="Q103" s="25"/>
      <x:c r="R103" s="25"/>
    </x:row>
    <x:row r="104">
      <x:c r="A104" s="25"/>
      <x:c r="B104" s="25"/>
      <x:c r="C104" s="25"/>
      <x:c r="D104" s="25"/>
      <x:c r="E104" s="30"/>
      <x:c r="F104" s="40"/>
      <x:c r="G104" s="40"/>
      <x:c r="H104" s="38" t="str">
        <x:f>IF(A104="","",E104*F104*G104)</x:f>
      </x:c>
      <x:c r="I104" s="30"/>
      <x:c r="J104" s="30"/>
      <x:c r="K104" s="30"/>
      <x:c r="L104" s="38" t="str">
        <x:f>IF(A104="","",H104-I104-J104-K104)</x:f>
      </x:c>
      <x:c r="M104" s="30"/>
      <x:c r="N104" s="30"/>
      <x:c r="O104" s="41" t="str">
        <x:f>IF(A104="","",IF(M104=0,0,N104/M104))</x:f>
      </x:c>
      <x:c r="P104" s="39"/>
      <x:c r="Q104" s="25"/>
      <x:c r="R104" s="25"/>
    </x:row>
    <x:row r="105">
      <x:c r="A105" s="25"/>
      <x:c r="B105" s="25"/>
      <x:c r="C105" s="25"/>
      <x:c r="D105" s="25"/>
      <x:c r="E105" s="30"/>
      <x:c r="F105" s="40"/>
      <x:c r="G105" s="40"/>
      <x:c r="H105" s="38" t="str">
        <x:f>IF(A105="","",E105*F105*G105)</x:f>
      </x:c>
      <x:c r="I105" s="30"/>
      <x:c r="J105" s="30"/>
      <x:c r="K105" s="30"/>
      <x:c r="L105" s="38" t="str">
        <x:f>IF(A105="","",H105-I105-J105-K105)</x:f>
      </x:c>
      <x:c r="M105" s="30"/>
      <x:c r="N105" s="30"/>
      <x:c r="O105" s="41" t="str">
        <x:f>IF(A105="","",IF(M105=0,0,N105/M105))</x:f>
      </x:c>
      <x:c r="P105" s="39"/>
      <x:c r="Q105" s="25"/>
      <x:c r="R105" s="25"/>
    </x:row>
    <x:row r="106">
      <x:c r="A106" s="25"/>
      <x:c r="B106" s="25"/>
      <x:c r="C106" s="25"/>
      <x:c r="D106" s="25"/>
      <x:c r="E106" s="30"/>
      <x:c r="F106" s="40"/>
      <x:c r="G106" s="40"/>
      <x:c r="H106" s="38" t="str">
        <x:f>IF(A106="","",E106*F106*G106)</x:f>
      </x:c>
      <x:c r="I106" s="30"/>
      <x:c r="J106" s="30"/>
      <x:c r="K106" s="30"/>
      <x:c r="L106" s="38" t="str">
        <x:f>IF(A106="","",H106-I106-J106-K106)</x:f>
      </x:c>
      <x:c r="M106" s="30"/>
      <x:c r="N106" s="30"/>
      <x:c r="O106" s="41" t="str">
        <x:f>IF(A106="","",IF(M106=0,0,N106/M106))</x:f>
      </x:c>
      <x:c r="P106" s="39"/>
      <x:c r="Q106" s="25"/>
      <x:c r="R106" s="25"/>
    </x:row>
  </x:sheetData>
  <x:mergeCells>
    <x:mergeCell ref="A1:R1"/>
    <x:mergeCell ref="A2:R2"/>
  </x:mergeCells>
  <x:dataValidations count="2">
    <x:dataValidation type="list" sqref="C7:C106">
      <x:formula1>"Fixture/signage,Demo,MDF/co-op,Launch/festival,Promoter,Rebate/spiff,Training/content,Allocation/O2O,Other"</x:formula1>
    </x:dataValidation>
    <x:dataValidation type="list" sqref="Q7:Q106">
      <x:formula1>"Proposed,Preapproved,Submitted,Accepted,Rejected,Part-paid,Settled,Disputed"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20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8" hidden="0" customWidth="1"/>
  </x:cols>
  <x:sheetData>
    <x:row r="1" ht="30" customHeight="1">
      <x:c r="A1" s="14" t="str">
        <x:v>Claims Register</x:v>
      </x:c>
    </x:row>
    <x:row r="2" ht="32" customHeight="1">
      <x:c r="A2" s="17" t="str">
        <x:v>Unreceived claims are not available cash. Reconcile cash/credit notes independently and preserve policy/program version evidence.</x:v>
      </x:c>
    </x:row>
    <x:row r="6" ht="32" customHeight="1">
      <x:c r="A6" s="22" t="str">
        <x:v>Claim ID</x:v>
      </x:c>
      <x:c r="B6" s="22" t="str">
        <x:v>Claim type</x:v>
      </x:c>
      <x:c r="C6" s="22" t="str">
        <x:v>Supplier/brand</x:v>
      </x:c>
      <x:c r="D6" s="22" t="str">
        <x:v>Program/policy version</x:v>
      </x:c>
      <x:c r="E6" s="22" t="str">
        <x:v>Related PO/invoice</x:v>
      </x:c>
      <x:c r="F6" s="22" t="str">
        <x:v>SKU/IMEI</x:v>
      </x:c>
      <x:c r="G6" s="22" t="str">
        <x:v>Event date</x:v>
      </x:c>
      <x:c r="H6" s="22" t="str">
        <x:v>Deadline</x:v>
      </x:c>
      <x:c r="I6" s="22" t="str">
        <x:v>Amount claimed</x:v>
      </x:c>
      <x:c r="J6" s="22" t="str">
        <x:v>K&amp;S spend</x:v>
      </x:c>
      <x:c r="K6" s="22" t="str">
        <x:v>Submitted date</x:v>
      </x:c>
      <x:c r="L6" s="22" t="str">
        <x:v>Expected settlement</x:v>
      </x:c>
      <x:c r="M6" s="22" t="str">
        <x:v>Received date</x:v>
      </x:c>
      <x:c r="N6" s="22" t="str">
        <x:v>Amount received</x:v>
      </x:c>
      <x:c r="O6" s="22" t="str">
        <x:v>Outstanding</x:v>
      </x:c>
      <x:c r="P6" s="22" t="str">
        <x:v>Status</x:v>
      </x:c>
      <x:c r="Q6" s="22" t="str">
        <x:v>Evidence reference</x:v>
      </x:c>
    </x:row>
    <x:row r="7">
      <x:c r="A7" s="25"/>
      <x:c r="B7" s="25"/>
      <x:c r="C7" s="25"/>
      <x:c r="D7" s="25"/>
      <x:c r="E7" s="25"/>
      <x:c r="F7" s="25"/>
      <x:c r="G7" s="39"/>
      <x:c r="H7" s="39"/>
      <x:c r="I7" s="30"/>
      <x:c r="J7" s="30"/>
      <x:c r="K7" s="39"/>
      <x:c r="L7" s="39"/>
      <x:c r="M7" s="39"/>
      <x:c r="N7" s="30"/>
      <x:c r="O7" s="38" t="str">
        <x:f>IF(A7="","",I7-N7)</x:f>
      </x:c>
      <x:c r="P7" s="25"/>
      <x:c r="Q7" s="25"/>
    </x:row>
    <x:row r="8">
      <x:c r="A8" s="25"/>
      <x:c r="B8" s="25"/>
      <x:c r="C8" s="25"/>
      <x:c r="D8" s="25"/>
      <x:c r="E8" s="25"/>
      <x:c r="F8" s="25"/>
      <x:c r="G8" s="39"/>
      <x:c r="H8" s="39"/>
      <x:c r="I8" s="30"/>
      <x:c r="J8" s="30"/>
      <x:c r="K8" s="39"/>
      <x:c r="L8" s="39"/>
      <x:c r="M8" s="39"/>
      <x:c r="N8" s="30"/>
      <x:c r="O8" s="38" t="str">
        <x:f>IF(A8="","",I8-N8)</x:f>
      </x:c>
      <x:c r="P8" s="25"/>
      <x:c r="Q8" s="25"/>
    </x:row>
    <x:row r="9">
      <x:c r="A9" s="25"/>
      <x:c r="B9" s="25"/>
      <x:c r="C9" s="25"/>
      <x:c r="D9" s="25"/>
      <x:c r="E9" s="25"/>
      <x:c r="F9" s="25"/>
      <x:c r="G9" s="39"/>
      <x:c r="H9" s="39"/>
      <x:c r="I9" s="30"/>
      <x:c r="J9" s="30"/>
      <x:c r="K9" s="39"/>
      <x:c r="L9" s="39"/>
      <x:c r="M9" s="39"/>
      <x:c r="N9" s="30"/>
      <x:c r="O9" s="38" t="str">
        <x:f>IF(A9="","",I9-N9)</x:f>
      </x:c>
      <x:c r="P9" s="25"/>
      <x:c r="Q9" s="25"/>
    </x:row>
    <x:row r="10">
      <x:c r="A10" s="25"/>
      <x:c r="B10" s="25"/>
      <x:c r="C10" s="25"/>
      <x:c r="D10" s="25"/>
      <x:c r="E10" s="25"/>
      <x:c r="F10" s="25"/>
      <x:c r="G10" s="39"/>
      <x:c r="H10" s="39"/>
      <x:c r="I10" s="30"/>
      <x:c r="J10" s="30"/>
      <x:c r="K10" s="39"/>
      <x:c r="L10" s="39"/>
      <x:c r="M10" s="39"/>
      <x:c r="N10" s="30"/>
      <x:c r="O10" s="38" t="str">
        <x:f>IF(A10="","",I10-N10)</x:f>
      </x:c>
      <x:c r="P10" s="25"/>
      <x:c r="Q10" s="25"/>
    </x:row>
    <x:row r="11">
      <x:c r="A11" s="25"/>
      <x:c r="B11" s="25"/>
      <x:c r="C11" s="25"/>
      <x:c r="D11" s="25"/>
      <x:c r="E11" s="25"/>
      <x:c r="F11" s="25"/>
      <x:c r="G11" s="39"/>
      <x:c r="H11" s="39"/>
      <x:c r="I11" s="30"/>
      <x:c r="J11" s="30"/>
      <x:c r="K11" s="39"/>
      <x:c r="L11" s="39"/>
      <x:c r="M11" s="39"/>
      <x:c r="N11" s="30"/>
      <x:c r="O11" s="38" t="str">
        <x:f>IF(A11="","",I11-N11)</x:f>
      </x:c>
      <x:c r="P11" s="25"/>
      <x:c r="Q11" s="25"/>
    </x:row>
    <x:row r="12">
      <x:c r="A12" s="25"/>
      <x:c r="B12" s="25"/>
      <x:c r="C12" s="25"/>
      <x:c r="D12" s="25"/>
      <x:c r="E12" s="25"/>
      <x:c r="F12" s="25"/>
      <x:c r="G12" s="39"/>
      <x:c r="H12" s="39"/>
      <x:c r="I12" s="30"/>
      <x:c r="J12" s="30"/>
      <x:c r="K12" s="39"/>
      <x:c r="L12" s="39"/>
      <x:c r="M12" s="39"/>
      <x:c r="N12" s="30"/>
      <x:c r="O12" s="38" t="str">
        <x:f>IF(A12="","",I12-N12)</x:f>
      </x:c>
      <x:c r="P12" s="25"/>
      <x:c r="Q12" s="25"/>
    </x:row>
    <x:row r="13">
      <x:c r="A13" s="25"/>
      <x:c r="B13" s="25"/>
      <x:c r="C13" s="25"/>
      <x:c r="D13" s="25"/>
      <x:c r="E13" s="25"/>
      <x:c r="F13" s="25"/>
      <x:c r="G13" s="39"/>
      <x:c r="H13" s="39"/>
      <x:c r="I13" s="30"/>
      <x:c r="J13" s="30"/>
      <x:c r="K13" s="39"/>
      <x:c r="L13" s="39"/>
      <x:c r="M13" s="39"/>
      <x:c r="N13" s="30"/>
      <x:c r="O13" s="38" t="str">
        <x:f>IF(A13="","",I13-N13)</x:f>
      </x:c>
      <x:c r="P13" s="25"/>
      <x:c r="Q13" s="25"/>
    </x:row>
    <x:row r="14">
      <x:c r="A14" s="25"/>
      <x:c r="B14" s="25"/>
      <x:c r="C14" s="25"/>
      <x:c r="D14" s="25"/>
      <x:c r="E14" s="25"/>
      <x:c r="F14" s="25"/>
      <x:c r="G14" s="39"/>
      <x:c r="H14" s="39"/>
      <x:c r="I14" s="30"/>
      <x:c r="J14" s="30"/>
      <x:c r="K14" s="39"/>
      <x:c r="L14" s="39"/>
      <x:c r="M14" s="39"/>
      <x:c r="N14" s="30"/>
      <x:c r="O14" s="38" t="str">
        <x:f>IF(A14="","",I14-N14)</x:f>
      </x:c>
      <x:c r="P14" s="25"/>
      <x:c r="Q14" s="25"/>
    </x:row>
    <x:row r="15">
      <x:c r="A15" s="25"/>
      <x:c r="B15" s="25"/>
      <x:c r="C15" s="25"/>
      <x:c r="D15" s="25"/>
      <x:c r="E15" s="25"/>
      <x:c r="F15" s="25"/>
      <x:c r="G15" s="39"/>
      <x:c r="H15" s="39"/>
      <x:c r="I15" s="30"/>
      <x:c r="J15" s="30"/>
      <x:c r="K15" s="39"/>
      <x:c r="L15" s="39"/>
      <x:c r="M15" s="39"/>
      <x:c r="N15" s="30"/>
      <x:c r="O15" s="38" t="str">
        <x:f>IF(A15="","",I15-N15)</x:f>
      </x:c>
      <x:c r="P15" s="25"/>
      <x:c r="Q15" s="25"/>
    </x:row>
    <x:row r="16">
      <x:c r="A16" s="25"/>
      <x:c r="B16" s="25"/>
      <x:c r="C16" s="25"/>
      <x:c r="D16" s="25"/>
      <x:c r="E16" s="25"/>
      <x:c r="F16" s="25"/>
      <x:c r="G16" s="39"/>
      <x:c r="H16" s="39"/>
      <x:c r="I16" s="30"/>
      <x:c r="J16" s="30"/>
      <x:c r="K16" s="39"/>
      <x:c r="L16" s="39"/>
      <x:c r="M16" s="39"/>
      <x:c r="N16" s="30"/>
      <x:c r="O16" s="38" t="str">
        <x:f>IF(A16="","",I16-N16)</x:f>
      </x:c>
      <x:c r="P16" s="25"/>
      <x:c r="Q16" s="25"/>
    </x:row>
    <x:row r="17">
      <x:c r="A17" s="25"/>
      <x:c r="B17" s="25"/>
      <x:c r="C17" s="25"/>
      <x:c r="D17" s="25"/>
      <x:c r="E17" s="25"/>
      <x:c r="F17" s="25"/>
      <x:c r="G17" s="39"/>
      <x:c r="H17" s="39"/>
      <x:c r="I17" s="30"/>
      <x:c r="J17" s="30"/>
      <x:c r="K17" s="39"/>
      <x:c r="L17" s="39"/>
      <x:c r="M17" s="39"/>
      <x:c r="N17" s="30"/>
      <x:c r="O17" s="38" t="str">
        <x:f>IF(A17="","",I17-N17)</x:f>
      </x:c>
      <x:c r="P17" s="25"/>
      <x:c r="Q17" s="25"/>
    </x:row>
    <x:row r="18">
      <x:c r="A18" s="25"/>
      <x:c r="B18" s="25"/>
      <x:c r="C18" s="25"/>
      <x:c r="D18" s="25"/>
      <x:c r="E18" s="25"/>
      <x:c r="F18" s="25"/>
      <x:c r="G18" s="39"/>
      <x:c r="H18" s="39"/>
      <x:c r="I18" s="30"/>
      <x:c r="J18" s="30"/>
      <x:c r="K18" s="39"/>
      <x:c r="L18" s="39"/>
      <x:c r="M18" s="39"/>
      <x:c r="N18" s="30"/>
      <x:c r="O18" s="38" t="str">
        <x:f>IF(A18="","",I18-N18)</x:f>
      </x:c>
      <x:c r="P18" s="25"/>
      <x:c r="Q18" s="25"/>
    </x:row>
    <x:row r="19">
      <x:c r="A19" s="25"/>
      <x:c r="B19" s="25"/>
      <x:c r="C19" s="25"/>
      <x:c r="D19" s="25"/>
      <x:c r="E19" s="25"/>
      <x:c r="F19" s="25"/>
      <x:c r="G19" s="39"/>
      <x:c r="H19" s="39"/>
      <x:c r="I19" s="30"/>
      <x:c r="J19" s="30"/>
      <x:c r="K19" s="39"/>
      <x:c r="L19" s="39"/>
      <x:c r="M19" s="39"/>
      <x:c r="N19" s="30"/>
      <x:c r="O19" s="38" t="str">
        <x:f>IF(A19="","",I19-N19)</x:f>
      </x:c>
      <x:c r="P19" s="25"/>
      <x:c r="Q19" s="25"/>
    </x:row>
    <x:row r="20">
      <x:c r="A20" s="25"/>
      <x:c r="B20" s="25"/>
      <x:c r="C20" s="25"/>
      <x:c r="D20" s="25"/>
      <x:c r="E20" s="25"/>
      <x:c r="F20" s="25"/>
      <x:c r="G20" s="39"/>
      <x:c r="H20" s="39"/>
      <x:c r="I20" s="30"/>
      <x:c r="J20" s="30"/>
      <x:c r="K20" s="39"/>
      <x:c r="L20" s="39"/>
      <x:c r="M20" s="39"/>
      <x:c r="N20" s="30"/>
      <x:c r="O20" s="38" t="str">
        <x:f>IF(A20="","",I20-N20)</x:f>
      </x:c>
      <x:c r="P20" s="25"/>
      <x:c r="Q20" s="25"/>
    </x:row>
    <x:row r="21">
      <x:c r="A21" s="25"/>
      <x:c r="B21" s="25"/>
      <x:c r="C21" s="25"/>
      <x:c r="D21" s="25"/>
      <x:c r="E21" s="25"/>
      <x:c r="F21" s="25"/>
      <x:c r="G21" s="39"/>
      <x:c r="H21" s="39"/>
      <x:c r="I21" s="30"/>
      <x:c r="J21" s="30"/>
      <x:c r="K21" s="39"/>
      <x:c r="L21" s="39"/>
      <x:c r="M21" s="39"/>
      <x:c r="N21" s="30"/>
      <x:c r="O21" s="38" t="str">
        <x:f>IF(A21="","",I21-N21)</x:f>
      </x:c>
      <x:c r="P21" s="25"/>
      <x:c r="Q21" s="25"/>
    </x:row>
    <x:row r="22">
      <x:c r="A22" s="25"/>
      <x:c r="B22" s="25"/>
      <x:c r="C22" s="25"/>
      <x:c r="D22" s="25"/>
      <x:c r="E22" s="25"/>
      <x:c r="F22" s="25"/>
      <x:c r="G22" s="39"/>
      <x:c r="H22" s="39"/>
      <x:c r="I22" s="30"/>
      <x:c r="J22" s="30"/>
      <x:c r="K22" s="39"/>
      <x:c r="L22" s="39"/>
      <x:c r="M22" s="39"/>
      <x:c r="N22" s="30"/>
      <x:c r="O22" s="38" t="str">
        <x:f>IF(A22="","",I22-N22)</x:f>
      </x:c>
      <x:c r="P22" s="25"/>
      <x:c r="Q22" s="25"/>
    </x:row>
    <x:row r="23">
      <x:c r="A23" s="25"/>
      <x:c r="B23" s="25"/>
      <x:c r="C23" s="25"/>
      <x:c r="D23" s="25"/>
      <x:c r="E23" s="25"/>
      <x:c r="F23" s="25"/>
      <x:c r="G23" s="39"/>
      <x:c r="H23" s="39"/>
      <x:c r="I23" s="30"/>
      <x:c r="J23" s="30"/>
      <x:c r="K23" s="39"/>
      <x:c r="L23" s="39"/>
      <x:c r="M23" s="39"/>
      <x:c r="N23" s="30"/>
      <x:c r="O23" s="38" t="str">
        <x:f>IF(A23="","",I23-N23)</x:f>
      </x:c>
      <x:c r="P23" s="25"/>
      <x:c r="Q23" s="25"/>
    </x:row>
    <x:row r="24">
      <x:c r="A24" s="25"/>
      <x:c r="B24" s="25"/>
      <x:c r="C24" s="25"/>
      <x:c r="D24" s="25"/>
      <x:c r="E24" s="25"/>
      <x:c r="F24" s="25"/>
      <x:c r="G24" s="39"/>
      <x:c r="H24" s="39"/>
      <x:c r="I24" s="30"/>
      <x:c r="J24" s="30"/>
      <x:c r="K24" s="39"/>
      <x:c r="L24" s="39"/>
      <x:c r="M24" s="39"/>
      <x:c r="N24" s="30"/>
      <x:c r="O24" s="38" t="str">
        <x:f>IF(A24="","",I24-N24)</x:f>
      </x:c>
      <x:c r="P24" s="25"/>
      <x:c r="Q24" s="25"/>
    </x:row>
    <x:row r="25">
      <x:c r="A25" s="25"/>
      <x:c r="B25" s="25"/>
      <x:c r="C25" s="25"/>
      <x:c r="D25" s="25"/>
      <x:c r="E25" s="25"/>
      <x:c r="F25" s="25"/>
      <x:c r="G25" s="39"/>
      <x:c r="H25" s="39"/>
      <x:c r="I25" s="30"/>
      <x:c r="J25" s="30"/>
      <x:c r="K25" s="39"/>
      <x:c r="L25" s="39"/>
      <x:c r="M25" s="39"/>
      <x:c r="N25" s="30"/>
      <x:c r="O25" s="38" t="str">
        <x:f>IF(A25="","",I25-N25)</x:f>
      </x:c>
      <x:c r="P25" s="25"/>
      <x:c r="Q25" s="25"/>
    </x:row>
    <x:row r="26">
      <x:c r="A26" s="25"/>
      <x:c r="B26" s="25"/>
      <x:c r="C26" s="25"/>
      <x:c r="D26" s="25"/>
      <x:c r="E26" s="25"/>
      <x:c r="F26" s="25"/>
      <x:c r="G26" s="39"/>
      <x:c r="H26" s="39"/>
      <x:c r="I26" s="30"/>
      <x:c r="J26" s="30"/>
      <x:c r="K26" s="39"/>
      <x:c r="L26" s="39"/>
      <x:c r="M26" s="39"/>
      <x:c r="N26" s="30"/>
      <x:c r="O26" s="38" t="str">
        <x:f>IF(A26="","",I26-N26)</x:f>
      </x:c>
      <x:c r="P26" s="25"/>
      <x:c r="Q26" s="25"/>
    </x:row>
    <x:row r="27">
      <x:c r="A27" s="25"/>
      <x:c r="B27" s="25"/>
      <x:c r="C27" s="25"/>
      <x:c r="D27" s="25"/>
      <x:c r="E27" s="25"/>
      <x:c r="F27" s="25"/>
      <x:c r="G27" s="39"/>
      <x:c r="H27" s="39"/>
      <x:c r="I27" s="30"/>
      <x:c r="J27" s="30"/>
      <x:c r="K27" s="39"/>
      <x:c r="L27" s="39"/>
      <x:c r="M27" s="39"/>
      <x:c r="N27" s="30"/>
      <x:c r="O27" s="38" t="str">
        <x:f>IF(A27="","",I27-N27)</x:f>
      </x:c>
      <x:c r="P27" s="25"/>
      <x:c r="Q27" s="25"/>
    </x:row>
    <x:row r="28">
      <x:c r="A28" s="25"/>
      <x:c r="B28" s="25"/>
      <x:c r="C28" s="25"/>
      <x:c r="D28" s="25"/>
      <x:c r="E28" s="25"/>
      <x:c r="F28" s="25"/>
      <x:c r="G28" s="39"/>
      <x:c r="H28" s="39"/>
      <x:c r="I28" s="30"/>
      <x:c r="J28" s="30"/>
      <x:c r="K28" s="39"/>
      <x:c r="L28" s="39"/>
      <x:c r="M28" s="39"/>
      <x:c r="N28" s="30"/>
      <x:c r="O28" s="38" t="str">
        <x:f>IF(A28="","",I28-N28)</x:f>
      </x:c>
      <x:c r="P28" s="25"/>
      <x:c r="Q28" s="25"/>
    </x:row>
    <x:row r="29">
      <x:c r="A29" s="25"/>
      <x:c r="B29" s="25"/>
      <x:c r="C29" s="25"/>
      <x:c r="D29" s="25"/>
      <x:c r="E29" s="25"/>
      <x:c r="F29" s="25"/>
      <x:c r="G29" s="39"/>
      <x:c r="H29" s="39"/>
      <x:c r="I29" s="30"/>
      <x:c r="J29" s="30"/>
      <x:c r="K29" s="39"/>
      <x:c r="L29" s="39"/>
      <x:c r="M29" s="39"/>
      <x:c r="N29" s="30"/>
      <x:c r="O29" s="38" t="str">
        <x:f>IF(A29="","",I29-N29)</x:f>
      </x:c>
      <x:c r="P29" s="25"/>
      <x:c r="Q29" s="25"/>
    </x:row>
    <x:row r="30">
      <x:c r="A30" s="25"/>
      <x:c r="B30" s="25"/>
      <x:c r="C30" s="25"/>
      <x:c r="D30" s="25"/>
      <x:c r="E30" s="25"/>
      <x:c r="F30" s="25"/>
      <x:c r="G30" s="39"/>
      <x:c r="H30" s="39"/>
      <x:c r="I30" s="30"/>
      <x:c r="J30" s="30"/>
      <x:c r="K30" s="39"/>
      <x:c r="L30" s="39"/>
      <x:c r="M30" s="39"/>
      <x:c r="N30" s="30"/>
      <x:c r="O30" s="38" t="str">
        <x:f>IF(A30="","",I30-N30)</x:f>
      </x:c>
      <x:c r="P30" s="25"/>
      <x:c r="Q30" s="25"/>
    </x:row>
    <x:row r="31">
      <x:c r="A31" s="25"/>
      <x:c r="B31" s="25"/>
      <x:c r="C31" s="25"/>
      <x:c r="D31" s="25"/>
      <x:c r="E31" s="25"/>
      <x:c r="F31" s="25"/>
      <x:c r="G31" s="39"/>
      <x:c r="H31" s="39"/>
      <x:c r="I31" s="30"/>
      <x:c r="J31" s="30"/>
      <x:c r="K31" s="39"/>
      <x:c r="L31" s="39"/>
      <x:c r="M31" s="39"/>
      <x:c r="N31" s="30"/>
      <x:c r="O31" s="38" t="str">
        <x:f>IF(A31="","",I31-N31)</x:f>
      </x:c>
      <x:c r="P31" s="25"/>
      <x:c r="Q31" s="25"/>
    </x:row>
    <x:row r="32">
      <x:c r="A32" s="25"/>
      <x:c r="B32" s="25"/>
      <x:c r="C32" s="25"/>
      <x:c r="D32" s="25"/>
      <x:c r="E32" s="25"/>
      <x:c r="F32" s="25"/>
      <x:c r="G32" s="39"/>
      <x:c r="H32" s="39"/>
      <x:c r="I32" s="30"/>
      <x:c r="J32" s="30"/>
      <x:c r="K32" s="39"/>
      <x:c r="L32" s="39"/>
      <x:c r="M32" s="39"/>
      <x:c r="N32" s="30"/>
      <x:c r="O32" s="38" t="str">
        <x:f>IF(A32="","",I32-N32)</x:f>
      </x:c>
      <x:c r="P32" s="25"/>
      <x:c r="Q32" s="25"/>
    </x:row>
    <x:row r="33">
      <x:c r="A33" s="25"/>
      <x:c r="B33" s="25"/>
      <x:c r="C33" s="25"/>
      <x:c r="D33" s="25"/>
      <x:c r="E33" s="25"/>
      <x:c r="F33" s="25"/>
      <x:c r="G33" s="39"/>
      <x:c r="H33" s="39"/>
      <x:c r="I33" s="30"/>
      <x:c r="J33" s="30"/>
      <x:c r="K33" s="39"/>
      <x:c r="L33" s="39"/>
      <x:c r="M33" s="39"/>
      <x:c r="N33" s="30"/>
      <x:c r="O33" s="38" t="str">
        <x:f>IF(A33="","",I33-N33)</x:f>
      </x:c>
      <x:c r="P33" s="25"/>
      <x:c r="Q33" s="25"/>
    </x:row>
    <x:row r="34">
      <x:c r="A34" s="25"/>
      <x:c r="B34" s="25"/>
      <x:c r="C34" s="25"/>
      <x:c r="D34" s="25"/>
      <x:c r="E34" s="25"/>
      <x:c r="F34" s="25"/>
      <x:c r="G34" s="39"/>
      <x:c r="H34" s="39"/>
      <x:c r="I34" s="30"/>
      <x:c r="J34" s="30"/>
      <x:c r="K34" s="39"/>
      <x:c r="L34" s="39"/>
      <x:c r="M34" s="39"/>
      <x:c r="N34" s="30"/>
      <x:c r="O34" s="38" t="str">
        <x:f>IF(A34="","",I34-N34)</x:f>
      </x:c>
      <x:c r="P34" s="25"/>
      <x:c r="Q34" s="25"/>
    </x:row>
    <x:row r="35">
      <x:c r="A35" s="25"/>
      <x:c r="B35" s="25"/>
      <x:c r="C35" s="25"/>
      <x:c r="D35" s="25"/>
      <x:c r="E35" s="25"/>
      <x:c r="F35" s="25"/>
      <x:c r="G35" s="39"/>
      <x:c r="H35" s="39"/>
      <x:c r="I35" s="30"/>
      <x:c r="J35" s="30"/>
      <x:c r="K35" s="39"/>
      <x:c r="L35" s="39"/>
      <x:c r="M35" s="39"/>
      <x:c r="N35" s="30"/>
      <x:c r="O35" s="38" t="str">
        <x:f>IF(A35="","",I35-N35)</x:f>
      </x:c>
      <x:c r="P35" s="25"/>
      <x:c r="Q35" s="25"/>
    </x:row>
    <x:row r="36">
      <x:c r="A36" s="25"/>
      <x:c r="B36" s="25"/>
      <x:c r="C36" s="25"/>
      <x:c r="D36" s="25"/>
      <x:c r="E36" s="25"/>
      <x:c r="F36" s="25"/>
      <x:c r="G36" s="39"/>
      <x:c r="H36" s="39"/>
      <x:c r="I36" s="30"/>
      <x:c r="J36" s="30"/>
      <x:c r="K36" s="39"/>
      <x:c r="L36" s="39"/>
      <x:c r="M36" s="39"/>
      <x:c r="N36" s="30"/>
      <x:c r="O36" s="38" t="str">
        <x:f>IF(A36="","",I36-N36)</x:f>
      </x:c>
      <x:c r="P36" s="25"/>
      <x:c r="Q36" s="25"/>
    </x:row>
    <x:row r="37">
      <x:c r="A37" s="25"/>
      <x:c r="B37" s="25"/>
      <x:c r="C37" s="25"/>
      <x:c r="D37" s="25"/>
      <x:c r="E37" s="25"/>
      <x:c r="F37" s="25"/>
      <x:c r="G37" s="39"/>
      <x:c r="H37" s="39"/>
      <x:c r="I37" s="30"/>
      <x:c r="J37" s="30"/>
      <x:c r="K37" s="39"/>
      <x:c r="L37" s="39"/>
      <x:c r="M37" s="39"/>
      <x:c r="N37" s="30"/>
      <x:c r="O37" s="38" t="str">
        <x:f>IF(A37="","",I37-N37)</x:f>
      </x:c>
      <x:c r="P37" s="25"/>
      <x:c r="Q37" s="25"/>
    </x:row>
    <x:row r="38">
      <x:c r="A38" s="25"/>
      <x:c r="B38" s="25"/>
      <x:c r="C38" s="25"/>
      <x:c r="D38" s="25"/>
      <x:c r="E38" s="25"/>
      <x:c r="F38" s="25"/>
      <x:c r="G38" s="39"/>
      <x:c r="H38" s="39"/>
      <x:c r="I38" s="30"/>
      <x:c r="J38" s="30"/>
      <x:c r="K38" s="39"/>
      <x:c r="L38" s="39"/>
      <x:c r="M38" s="39"/>
      <x:c r="N38" s="30"/>
      <x:c r="O38" s="38" t="str">
        <x:f>IF(A38="","",I38-N38)</x:f>
      </x:c>
      <x:c r="P38" s="25"/>
      <x:c r="Q38" s="25"/>
    </x:row>
    <x:row r="39">
      <x:c r="A39" s="25"/>
      <x:c r="B39" s="25"/>
      <x:c r="C39" s="25"/>
      <x:c r="D39" s="25"/>
      <x:c r="E39" s="25"/>
      <x:c r="F39" s="25"/>
      <x:c r="G39" s="39"/>
      <x:c r="H39" s="39"/>
      <x:c r="I39" s="30"/>
      <x:c r="J39" s="30"/>
      <x:c r="K39" s="39"/>
      <x:c r="L39" s="39"/>
      <x:c r="M39" s="39"/>
      <x:c r="N39" s="30"/>
      <x:c r="O39" s="38" t="str">
        <x:f>IF(A39="","",I39-N39)</x:f>
      </x:c>
      <x:c r="P39" s="25"/>
      <x:c r="Q39" s="25"/>
    </x:row>
    <x:row r="40">
      <x:c r="A40" s="25"/>
      <x:c r="B40" s="25"/>
      <x:c r="C40" s="25"/>
      <x:c r="D40" s="25"/>
      <x:c r="E40" s="25"/>
      <x:c r="F40" s="25"/>
      <x:c r="G40" s="39"/>
      <x:c r="H40" s="39"/>
      <x:c r="I40" s="30"/>
      <x:c r="J40" s="30"/>
      <x:c r="K40" s="39"/>
      <x:c r="L40" s="39"/>
      <x:c r="M40" s="39"/>
      <x:c r="N40" s="30"/>
      <x:c r="O40" s="38" t="str">
        <x:f>IF(A40="","",I40-N40)</x:f>
      </x:c>
      <x:c r="P40" s="25"/>
      <x:c r="Q40" s="25"/>
    </x:row>
    <x:row r="41">
      <x:c r="A41" s="25"/>
      <x:c r="B41" s="25"/>
      <x:c r="C41" s="25"/>
      <x:c r="D41" s="25"/>
      <x:c r="E41" s="25"/>
      <x:c r="F41" s="25"/>
      <x:c r="G41" s="39"/>
      <x:c r="H41" s="39"/>
      <x:c r="I41" s="30"/>
      <x:c r="J41" s="30"/>
      <x:c r="K41" s="39"/>
      <x:c r="L41" s="39"/>
      <x:c r="M41" s="39"/>
      <x:c r="N41" s="30"/>
      <x:c r="O41" s="38" t="str">
        <x:f>IF(A41="","",I41-N41)</x:f>
      </x:c>
      <x:c r="P41" s="25"/>
      <x:c r="Q41" s="25"/>
    </x:row>
    <x:row r="42">
      <x:c r="A42" s="25"/>
      <x:c r="B42" s="25"/>
      <x:c r="C42" s="25"/>
      <x:c r="D42" s="25"/>
      <x:c r="E42" s="25"/>
      <x:c r="F42" s="25"/>
      <x:c r="G42" s="39"/>
      <x:c r="H42" s="39"/>
      <x:c r="I42" s="30"/>
      <x:c r="J42" s="30"/>
      <x:c r="K42" s="39"/>
      <x:c r="L42" s="39"/>
      <x:c r="M42" s="39"/>
      <x:c r="N42" s="30"/>
      <x:c r="O42" s="38" t="str">
        <x:f>IF(A42="","",I42-N42)</x:f>
      </x:c>
      <x:c r="P42" s="25"/>
      <x:c r="Q42" s="25"/>
    </x:row>
    <x:row r="43">
      <x:c r="A43" s="25"/>
      <x:c r="B43" s="25"/>
      <x:c r="C43" s="25"/>
      <x:c r="D43" s="25"/>
      <x:c r="E43" s="25"/>
      <x:c r="F43" s="25"/>
      <x:c r="G43" s="39"/>
      <x:c r="H43" s="39"/>
      <x:c r="I43" s="30"/>
      <x:c r="J43" s="30"/>
      <x:c r="K43" s="39"/>
      <x:c r="L43" s="39"/>
      <x:c r="M43" s="39"/>
      <x:c r="N43" s="30"/>
      <x:c r="O43" s="38" t="str">
        <x:f>IF(A43="","",I43-N43)</x:f>
      </x:c>
      <x:c r="P43" s="25"/>
      <x:c r="Q43" s="25"/>
    </x:row>
    <x:row r="44">
      <x:c r="A44" s="25"/>
      <x:c r="B44" s="25"/>
      <x:c r="C44" s="25"/>
      <x:c r="D44" s="25"/>
      <x:c r="E44" s="25"/>
      <x:c r="F44" s="25"/>
      <x:c r="G44" s="39"/>
      <x:c r="H44" s="39"/>
      <x:c r="I44" s="30"/>
      <x:c r="J44" s="30"/>
      <x:c r="K44" s="39"/>
      <x:c r="L44" s="39"/>
      <x:c r="M44" s="39"/>
      <x:c r="N44" s="30"/>
      <x:c r="O44" s="38" t="str">
        <x:f>IF(A44="","",I44-N44)</x:f>
      </x:c>
      <x:c r="P44" s="25"/>
      <x:c r="Q44" s="25"/>
    </x:row>
    <x:row r="45">
      <x:c r="A45" s="25"/>
      <x:c r="B45" s="25"/>
      <x:c r="C45" s="25"/>
      <x:c r="D45" s="25"/>
      <x:c r="E45" s="25"/>
      <x:c r="F45" s="25"/>
      <x:c r="G45" s="39"/>
      <x:c r="H45" s="39"/>
      <x:c r="I45" s="30"/>
      <x:c r="J45" s="30"/>
      <x:c r="K45" s="39"/>
      <x:c r="L45" s="39"/>
      <x:c r="M45" s="39"/>
      <x:c r="N45" s="30"/>
      <x:c r="O45" s="38" t="str">
        <x:f>IF(A45="","",I45-N45)</x:f>
      </x:c>
      <x:c r="P45" s="25"/>
      <x:c r="Q45" s="25"/>
    </x:row>
    <x:row r="46">
      <x:c r="A46" s="25"/>
      <x:c r="B46" s="25"/>
      <x:c r="C46" s="25"/>
      <x:c r="D46" s="25"/>
      <x:c r="E46" s="25"/>
      <x:c r="F46" s="25"/>
      <x:c r="G46" s="39"/>
      <x:c r="H46" s="39"/>
      <x:c r="I46" s="30"/>
      <x:c r="J46" s="30"/>
      <x:c r="K46" s="39"/>
      <x:c r="L46" s="39"/>
      <x:c r="M46" s="39"/>
      <x:c r="N46" s="30"/>
      <x:c r="O46" s="38" t="str">
        <x:f>IF(A46="","",I46-N46)</x:f>
      </x:c>
      <x:c r="P46" s="25"/>
      <x:c r="Q46" s="25"/>
    </x:row>
    <x:row r="47">
      <x:c r="A47" s="25"/>
      <x:c r="B47" s="25"/>
      <x:c r="C47" s="25"/>
      <x:c r="D47" s="25"/>
      <x:c r="E47" s="25"/>
      <x:c r="F47" s="25"/>
      <x:c r="G47" s="39"/>
      <x:c r="H47" s="39"/>
      <x:c r="I47" s="30"/>
      <x:c r="J47" s="30"/>
      <x:c r="K47" s="39"/>
      <x:c r="L47" s="39"/>
      <x:c r="M47" s="39"/>
      <x:c r="N47" s="30"/>
      <x:c r="O47" s="38" t="str">
        <x:f>IF(A47="","",I47-N47)</x:f>
      </x:c>
      <x:c r="P47" s="25"/>
      <x:c r="Q47" s="25"/>
    </x:row>
    <x:row r="48">
      <x:c r="A48" s="25"/>
      <x:c r="B48" s="25"/>
      <x:c r="C48" s="25"/>
      <x:c r="D48" s="25"/>
      <x:c r="E48" s="25"/>
      <x:c r="F48" s="25"/>
      <x:c r="G48" s="39"/>
      <x:c r="H48" s="39"/>
      <x:c r="I48" s="30"/>
      <x:c r="J48" s="30"/>
      <x:c r="K48" s="39"/>
      <x:c r="L48" s="39"/>
      <x:c r="M48" s="39"/>
      <x:c r="N48" s="30"/>
      <x:c r="O48" s="38" t="str">
        <x:f>IF(A48="","",I48-N48)</x:f>
      </x:c>
      <x:c r="P48" s="25"/>
      <x:c r="Q48" s="25"/>
    </x:row>
    <x:row r="49">
      <x:c r="A49" s="25"/>
      <x:c r="B49" s="25"/>
      <x:c r="C49" s="25"/>
      <x:c r="D49" s="25"/>
      <x:c r="E49" s="25"/>
      <x:c r="F49" s="25"/>
      <x:c r="G49" s="39"/>
      <x:c r="H49" s="39"/>
      <x:c r="I49" s="30"/>
      <x:c r="J49" s="30"/>
      <x:c r="K49" s="39"/>
      <x:c r="L49" s="39"/>
      <x:c r="M49" s="39"/>
      <x:c r="N49" s="30"/>
      <x:c r="O49" s="38" t="str">
        <x:f>IF(A49="","",I49-N49)</x:f>
      </x:c>
      <x:c r="P49" s="25"/>
      <x:c r="Q49" s="25"/>
    </x:row>
    <x:row r="50">
      <x:c r="A50" s="25"/>
      <x:c r="B50" s="25"/>
      <x:c r="C50" s="25"/>
      <x:c r="D50" s="25"/>
      <x:c r="E50" s="25"/>
      <x:c r="F50" s="25"/>
      <x:c r="G50" s="39"/>
      <x:c r="H50" s="39"/>
      <x:c r="I50" s="30"/>
      <x:c r="J50" s="30"/>
      <x:c r="K50" s="39"/>
      <x:c r="L50" s="39"/>
      <x:c r="M50" s="39"/>
      <x:c r="N50" s="30"/>
      <x:c r="O50" s="38" t="str">
        <x:f>IF(A50="","",I50-N50)</x:f>
      </x:c>
      <x:c r="P50" s="25"/>
      <x:c r="Q50" s="25"/>
    </x:row>
    <x:row r="51">
      <x:c r="A51" s="25"/>
      <x:c r="B51" s="25"/>
      <x:c r="C51" s="25"/>
      <x:c r="D51" s="25"/>
      <x:c r="E51" s="25"/>
      <x:c r="F51" s="25"/>
      <x:c r="G51" s="39"/>
      <x:c r="H51" s="39"/>
      <x:c r="I51" s="30"/>
      <x:c r="J51" s="30"/>
      <x:c r="K51" s="39"/>
      <x:c r="L51" s="39"/>
      <x:c r="M51" s="39"/>
      <x:c r="N51" s="30"/>
      <x:c r="O51" s="38" t="str">
        <x:f>IF(A51="","",I51-N51)</x:f>
      </x:c>
      <x:c r="P51" s="25"/>
      <x:c r="Q51" s="25"/>
    </x:row>
    <x:row r="52">
      <x:c r="A52" s="25"/>
      <x:c r="B52" s="25"/>
      <x:c r="C52" s="25"/>
      <x:c r="D52" s="25"/>
      <x:c r="E52" s="25"/>
      <x:c r="F52" s="25"/>
      <x:c r="G52" s="39"/>
      <x:c r="H52" s="39"/>
      <x:c r="I52" s="30"/>
      <x:c r="J52" s="30"/>
      <x:c r="K52" s="39"/>
      <x:c r="L52" s="39"/>
      <x:c r="M52" s="39"/>
      <x:c r="N52" s="30"/>
      <x:c r="O52" s="38" t="str">
        <x:f>IF(A52="","",I52-N52)</x:f>
      </x:c>
      <x:c r="P52" s="25"/>
      <x:c r="Q52" s="25"/>
    </x:row>
    <x:row r="53">
      <x:c r="A53" s="25"/>
      <x:c r="B53" s="25"/>
      <x:c r="C53" s="25"/>
      <x:c r="D53" s="25"/>
      <x:c r="E53" s="25"/>
      <x:c r="F53" s="25"/>
      <x:c r="G53" s="39"/>
      <x:c r="H53" s="39"/>
      <x:c r="I53" s="30"/>
      <x:c r="J53" s="30"/>
      <x:c r="K53" s="39"/>
      <x:c r="L53" s="39"/>
      <x:c r="M53" s="39"/>
      <x:c r="N53" s="30"/>
      <x:c r="O53" s="38" t="str">
        <x:f>IF(A53="","",I53-N53)</x:f>
      </x:c>
      <x:c r="P53" s="25"/>
      <x:c r="Q53" s="25"/>
    </x:row>
    <x:row r="54">
      <x:c r="A54" s="25"/>
      <x:c r="B54" s="25"/>
      <x:c r="C54" s="25"/>
      <x:c r="D54" s="25"/>
      <x:c r="E54" s="25"/>
      <x:c r="F54" s="25"/>
      <x:c r="G54" s="39"/>
      <x:c r="H54" s="39"/>
      <x:c r="I54" s="30"/>
      <x:c r="J54" s="30"/>
      <x:c r="K54" s="39"/>
      <x:c r="L54" s="39"/>
      <x:c r="M54" s="39"/>
      <x:c r="N54" s="30"/>
      <x:c r="O54" s="38" t="str">
        <x:f>IF(A54="","",I54-N54)</x:f>
      </x:c>
      <x:c r="P54" s="25"/>
      <x:c r="Q54" s="25"/>
    </x:row>
    <x:row r="55">
      <x:c r="A55" s="25"/>
      <x:c r="B55" s="25"/>
      <x:c r="C55" s="25"/>
      <x:c r="D55" s="25"/>
      <x:c r="E55" s="25"/>
      <x:c r="F55" s="25"/>
      <x:c r="G55" s="39"/>
      <x:c r="H55" s="39"/>
      <x:c r="I55" s="30"/>
      <x:c r="J55" s="30"/>
      <x:c r="K55" s="39"/>
      <x:c r="L55" s="39"/>
      <x:c r="M55" s="39"/>
      <x:c r="N55" s="30"/>
      <x:c r="O55" s="38" t="str">
        <x:f>IF(A55="","",I55-N55)</x:f>
      </x:c>
      <x:c r="P55" s="25"/>
      <x:c r="Q55" s="25"/>
    </x:row>
    <x:row r="56">
      <x:c r="A56" s="25"/>
      <x:c r="B56" s="25"/>
      <x:c r="C56" s="25"/>
      <x:c r="D56" s="25"/>
      <x:c r="E56" s="25"/>
      <x:c r="F56" s="25"/>
      <x:c r="G56" s="39"/>
      <x:c r="H56" s="39"/>
      <x:c r="I56" s="30"/>
      <x:c r="J56" s="30"/>
      <x:c r="K56" s="39"/>
      <x:c r="L56" s="39"/>
      <x:c r="M56" s="39"/>
      <x:c r="N56" s="30"/>
      <x:c r="O56" s="38" t="str">
        <x:f>IF(A56="","",I56-N56)</x:f>
      </x:c>
      <x:c r="P56" s="25"/>
      <x:c r="Q56" s="25"/>
    </x:row>
    <x:row r="57">
      <x:c r="A57" s="25"/>
      <x:c r="B57" s="25"/>
      <x:c r="C57" s="25"/>
      <x:c r="D57" s="25"/>
      <x:c r="E57" s="25"/>
      <x:c r="F57" s="25"/>
      <x:c r="G57" s="39"/>
      <x:c r="H57" s="39"/>
      <x:c r="I57" s="30"/>
      <x:c r="J57" s="30"/>
      <x:c r="K57" s="39"/>
      <x:c r="L57" s="39"/>
      <x:c r="M57" s="39"/>
      <x:c r="N57" s="30"/>
      <x:c r="O57" s="38" t="str">
        <x:f>IF(A57="","",I57-N57)</x:f>
      </x:c>
      <x:c r="P57" s="25"/>
      <x:c r="Q57" s="25"/>
    </x:row>
    <x:row r="58">
      <x:c r="A58" s="25"/>
      <x:c r="B58" s="25"/>
      <x:c r="C58" s="25"/>
      <x:c r="D58" s="25"/>
      <x:c r="E58" s="25"/>
      <x:c r="F58" s="25"/>
      <x:c r="G58" s="39"/>
      <x:c r="H58" s="39"/>
      <x:c r="I58" s="30"/>
      <x:c r="J58" s="30"/>
      <x:c r="K58" s="39"/>
      <x:c r="L58" s="39"/>
      <x:c r="M58" s="39"/>
      <x:c r="N58" s="30"/>
      <x:c r="O58" s="38" t="str">
        <x:f>IF(A58="","",I58-N58)</x:f>
      </x:c>
      <x:c r="P58" s="25"/>
      <x:c r="Q58" s="25"/>
    </x:row>
    <x:row r="59">
      <x:c r="A59" s="25"/>
      <x:c r="B59" s="25"/>
      <x:c r="C59" s="25"/>
      <x:c r="D59" s="25"/>
      <x:c r="E59" s="25"/>
      <x:c r="F59" s="25"/>
      <x:c r="G59" s="39"/>
      <x:c r="H59" s="39"/>
      <x:c r="I59" s="30"/>
      <x:c r="J59" s="30"/>
      <x:c r="K59" s="39"/>
      <x:c r="L59" s="39"/>
      <x:c r="M59" s="39"/>
      <x:c r="N59" s="30"/>
      <x:c r="O59" s="38" t="str">
        <x:f>IF(A59="","",I59-N59)</x:f>
      </x:c>
      <x:c r="P59" s="25"/>
      <x:c r="Q59" s="25"/>
    </x:row>
    <x:row r="60">
      <x:c r="A60" s="25"/>
      <x:c r="B60" s="25"/>
      <x:c r="C60" s="25"/>
      <x:c r="D60" s="25"/>
      <x:c r="E60" s="25"/>
      <x:c r="F60" s="25"/>
      <x:c r="G60" s="39"/>
      <x:c r="H60" s="39"/>
      <x:c r="I60" s="30"/>
      <x:c r="J60" s="30"/>
      <x:c r="K60" s="39"/>
      <x:c r="L60" s="39"/>
      <x:c r="M60" s="39"/>
      <x:c r="N60" s="30"/>
      <x:c r="O60" s="38" t="str">
        <x:f>IF(A60="","",I60-N60)</x:f>
      </x:c>
      <x:c r="P60" s="25"/>
      <x:c r="Q60" s="25"/>
    </x:row>
    <x:row r="61">
      <x:c r="A61" s="25"/>
      <x:c r="B61" s="25"/>
      <x:c r="C61" s="25"/>
      <x:c r="D61" s="25"/>
      <x:c r="E61" s="25"/>
      <x:c r="F61" s="25"/>
      <x:c r="G61" s="39"/>
      <x:c r="H61" s="39"/>
      <x:c r="I61" s="30"/>
      <x:c r="J61" s="30"/>
      <x:c r="K61" s="39"/>
      <x:c r="L61" s="39"/>
      <x:c r="M61" s="39"/>
      <x:c r="N61" s="30"/>
      <x:c r="O61" s="38" t="str">
        <x:f>IF(A61="","",I61-N61)</x:f>
      </x:c>
      <x:c r="P61" s="25"/>
      <x:c r="Q61" s="25"/>
    </x:row>
    <x:row r="62">
      <x:c r="A62" s="25"/>
      <x:c r="B62" s="25"/>
      <x:c r="C62" s="25"/>
      <x:c r="D62" s="25"/>
      <x:c r="E62" s="25"/>
      <x:c r="F62" s="25"/>
      <x:c r="G62" s="39"/>
      <x:c r="H62" s="39"/>
      <x:c r="I62" s="30"/>
      <x:c r="J62" s="30"/>
      <x:c r="K62" s="39"/>
      <x:c r="L62" s="39"/>
      <x:c r="M62" s="39"/>
      <x:c r="N62" s="30"/>
      <x:c r="O62" s="38" t="str">
        <x:f>IF(A62="","",I62-N62)</x:f>
      </x:c>
      <x:c r="P62" s="25"/>
      <x:c r="Q62" s="25"/>
    </x:row>
    <x:row r="63">
      <x:c r="A63" s="25"/>
      <x:c r="B63" s="25"/>
      <x:c r="C63" s="25"/>
      <x:c r="D63" s="25"/>
      <x:c r="E63" s="25"/>
      <x:c r="F63" s="25"/>
      <x:c r="G63" s="39"/>
      <x:c r="H63" s="39"/>
      <x:c r="I63" s="30"/>
      <x:c r="J63" s="30"/>
      <x:c r="K63" s="39"/>
      <x:c r="L63" s="39"/>
      <x:c r="M63" s="39"/>
      <x:c r="N63" s="30"/>
      <x:c r="O63" s="38" t="str">
        <x:f>IF(A63="","",I63-N63)</x:f>
      </x:c>
      <x:c r="P63" s="25"/>
      <x:c r="Q63" s="25"/>
    </x:row>
    <x:row r="64">
      <x:c r="A64" s="25"/>
      <x:c r="B64" s="25"/>
      <x:c r="C64" s="25"/>
      <x:c r="D64" s="25"/>
      <x:c r="E64" s="25"/>
      <x:c r="F64" s="25"/>
      <x:c r="G64" s="39"/>
      <x:c r="H64" s="39"/>
      <x:c r="I64" s="30"/>
      <x:c r="J64" s="30"/>
      <x:c r="K64" s="39"/>
      <x:c r="L64" s="39"/>
      <x:c r="M64" s="39"/>
      <x:c r="N64" s="30"/>
      <x:c r="O64" s="38" t="str">
        <x:f>IF(A64="","",I64-N64)</x:f>
      </x:c>
      <x:c r="P64" s="25"/>
      <x:c r="Q64" s="25"/>
    </x:row>
    <x:row r="65">
      <x:c r="A65" s="25"/>
      <x:c r="B65" s="25"/>
      <x:c r="C65" s="25"/>
      <x:c r="D65" s="25"/>
      <x:c r="E65" s="25"/>
      <x:c r="F65" s="25"/>
      <x:c r="G65" s="39"/>
      <x:c r="H65" s="39"/>
      <x:c r="I65" s="30"/>
      <x:c r="J65" s="30"/>
      <x:c r="K65" s="39"/>
      <x:c r="L65" s="39"/>
      <x:c r="M65" s="39"/>
      <x:c r="N65" s="30"/>
      <x:c r="O65" s="38" t="str">
        <x:f>IF(A65="","",I65-N65)</x:f>
      </x:c>
      <x:c r="P65" s="25"/>
      <x:c r="Q65" s="25"/>
    </x:row>
    <x:row r="66">
      <x:c r="A66" s="25"/>
      <x:c r="B66" s="25"/>
      <x:c r="C66" s="25"/>
      <x:c r="D66" s="25"/>
      <x:c r="E66" s="25"/>
      <x:c r="F66" s="25"/>
      <x:c r="G66" s="39"/>
      <x:c r="H66" s="39"/>
      <x:c r="I66" s="30"/>
      <x:c r="J66" s="30"/>
      <x:c r="K66" s="39"/>
      <x:c r="L66" s="39"/>
      <x:c r="M66" s="39"/>
      <x:c r="N66" s="30"/>
      <x:c r="O66" s="38" t="str">
        <x:f>IF(A66="","",I66-N66)</x:f>
      </x:c>
      <x:c r="P66" s="25"/>
      <x:c r="Q66" s="25"/>
    </x:row>
    <x:row r="67">
      <x:c r="A67" s="25"/>
      <x:c r="B67" s="25"/>
      <x:c r="C67" s="25"/>
      <x:c r="D67" s="25"/>
      <x:c r="E67" s="25"/>
      <x:c r="F67" s="25"/>
      <x:c r="G67" s="39"/>
      <x:c r="H67" s="39"/>
      <x:c r="I67" s="30"/>
      <x:c r="J67" s="30"/>
      <x:c r="K67" s="39"/>
      <x:c r="L67" s="39"/>
      <x:c r="M67" s="39"/>
      <x:c r="N67" s="30"/>
      <x:c r="O67" s="38" t="str">
        <x:f>IF(A67="","",I67-N67)</x:f>
      </x:c>
      <x:c r="P67" s="25"/>
      <x:c r="Q67" s="25"/>
    </x:row>
    <x:row r="68">
      <x:c r="A68" s="25"/>
      <x:c r="B68" s="25"/>
      <x:c r="C68" s="25"/>
      <x:c r="D68" s="25"/>
      <x:c r="E68" s="25"/>
      <x:c r="F68" s="25"/>
      <x:c r="G68" s="39"/>
      <x:c r="H68" s="39"/>
      <x:c r="I68" s="30"/>
      <x:c r="J68" s="30"/>
      <x:c r="K68" s="39"/>
      <x:c r="L68" s="39"/>
      <x:c r="M68" s="39"/>
      <x:c r="N68" s="30"/>
      <x:c r="O68" s="38" t="str">
        <x:f>IF(A68="","",I68-N68)</x:f>
      </x:c>
      <x:c r="P68" s="25"/>
      <x:c r="Q68" s="25"/>
    </x:row>
    <x:row r="69">
      <x:c r="A69" s="25"/>
      <x:c r="B69" s="25"/>
      <x:c r="C69" s="25"/>
      <x:c r="D69" s="25"/>
      <x:c r="E69" s="25"/>
      <x:c r="F69" s="25"/>
      <x:c r="G69" s="39"/>
      <x:c r="H69" s="39"/>
      <x:c r="I69" s="30"/>
      <x:c r="J69" s="30"/>
      <x:c r="K69" s="39"/>
      <x:c r="L69" s="39"/>
      <x:c r="M69" s="39"/>
      <x:c r="N69" s="30"/>
      <x:c r="O69" s="38" t="str">
        <x:f>IF(A69="","",I69-N69)</x:f>
      </x:c>
      <x:c r="P69" s="25"/>
      <x:c r="Q69" s="25"/>
    </x:row>
    <x:row r="70">
      <x:c r="A70" s="25"/>
      <x:c r="B70" s="25"/>
      <x:c r="C70" s="25"/>
      <x:c r="D70" s="25"/>
      <x:c r="E70" s="25"/>
      <x:c r="F70" s="25"/>
      <x:c r="G70" s="39"/>
      <x:c r="H70" s="39"/>
      <x:c r="I70" s="30"/>
      <x:c r="J70" s="30"/>
      <x:c r="K70" s="39"/>
      <x:c r="L70" s="39"/>
      <x:c r="M70" s="39"/>
      <x:c r="N70" s="30"/>
      <x:c r="O70" s="38" t="str">
        <x:f>IF(A70="","",I70-N70)</x:f>
      </x:c>
      <x:c r="P70" s="25"/>
      <x:c r="Q70" s="25"/>
    </x:row>
    <x:row r="71">
      <x:c r="A71" s="25"/>
      <x:c r="B71" s="25"/>
      <x:c r="C71" s="25"/>
      <x:c r="D71" s="25"/>
      <x:c r="E71" s="25"/>
      <x:c r="F71" s="25"/>
      <x:c r="G71" s="39"/>
      <x:c r="H71" s="39"/>
      <x:c r="I71" s="30"/>
      <x:c r="J71" s="30"/>
      <x:c r="K71" s="39"/>
      <x:c r="L71" s="39"/>
      <x:c r="M71" s="39"/>
      <x:c r="N71" s="30"/>
      <x:c r="O71" s="38" t="str">
        <x:f>IF(A71="","",I71-N71)</x:f>
      </x:c>
      <x:c r="P71" s="25"/>
      <x:c r="Q71" s="25"/>
    </x:row>
    <x:row r="72">
      <x:c r="A72" s="25"/>
      <x:c r="B72" s="25"/>
      <x:c r="C72" s="25"/>
      <x:c r="D72" s="25"/>
      <x:c r="E72" s="25"/>
      <x:c r="F72" s="25"/>
      <x:c r="G72" s="39"/>
      <x:c r="H72" s="39"/>
      <x:c r="I72" s="30"/>
      <x:c r="J72" s="30"/>
      <x:c r="K72" s="39"/>
      <x:c r="L72" s="39"/>
      <x:c r="M72" s="39"/>
      <x:c r="N72" s="30"/>
      <x:c r="O72" s="38" t="str">
        <x:f>IF(A72="","",I72-N72)</x:f>
      </x:c>
      <x:c r="P72" s="25"/>
      <x:c r="Q72" s="25"/>
    </x:row>
    <x:row r="73">
      <x:c r="A73" s="25"/>
      <x:c r="B73" s="25"/>
      <x:c r="C73" s="25"/>
      <x:c r="D73" s="25"/>
      <x:c r="E73" s="25"/>
      <x:c r="F73" s="25"/>
      <x:c r="G73" s="39"/>
      <x:c r="H73" s="39"/>
      <x:c r="I73" s="30"/>
      <x:c r="J73" s="30"/>
      <x:c r="K73" s="39"/>
      <x:c r="L73" s="39"/>
      <x:c r="M73" s="39"/>
      <x:c r="N73" s="30"/>
      <x:c r="O73" s="38" t="str">
        <x:f>IF(A73="","",I73-N73)</x:f>
      </x:c>
      <x:c r="P73" s="25"/>
      <x:c r="Q73" s="25"/>
    </x:row>
    <x:row r="74">
      <x:c r="A74" s="25"/>
      <x:c r="B74" s="25"/>
      <x:c r="C74" s="25"/>
      <x:c r="D74" s="25"/>
      <x:c r="E74" s="25"/>
      <x:c r="F74" s="25"/>
      <x:c r="G74" s="39"/>
      <x:c r="H74" s="39"/>
      <x:c r="I74" s="30"/>
      <x:c r="J74" s="30"/>
      <x:c r="K74" s="39"/>
      <x:c r="L74" s="39"/>
      <x:c r="M74" s="39"/>
      <x:c r="N74" s="30"/>
      <x:c r="O74" s="38" t="str">
        <x:f>IF(A74="","",I74-N74)</x:f>
      </x:c>
      <x:c r="P74" s="25"/>
      <x:c r="Q74" s="25"/>
    </x:row>
    <x:row r="75">
      <x:c r="A75" s="25"/>
      <x:c r="B75" s="25"/>
      <x:c r="C75" s="25"/>
      <x:c r="D75" s="25"/>
      <x:c r="E75" s="25"/>
      <x:c r="F75" s="25"/>
      <x:c r="G75" s="39"/>
      <x:c r="H75" s="39"/>
      <x:c r="I75" s="30"/>
      <x:c r="J75" s="30"/>
      <x:c r="K75" s="39"/>
      <x:c r="L75" s="39"/>
      <x:c r="M75" s="39"/>
      <x:c r="N75" s="30"/>
      <x:c r="O75" s="38" t="str">
        <x:f>IF(A75="","",I75-N75)</x:f>
      </x:c>
      <x:c r="P75" s="25"/>
      <x:c r="Q75" s="25"/>
    </x:row>
    <x:row r="76">
      <x:c r="A76" s="25"/>
      <x:c r="B76" s="25"/>
      <x:c r="C76" s="25"/>
      <x:c r="D76" s="25"/>
      <x:c r="E76" s="25"/>
      <x:c r="F76" s="25"/>
      <x:c r="G76" s="39"/>
      <x:c r="H76" s="39"/>
      <x:c r="I76" s="30"/>
      <x:c r="J76" s="30"/>
      <x:c r="K76" s="39"/>
      <x:c r="L76" s="39"/>
      <x:c r="M76" s="39"/>
      <x:c r="N76" s="30"/>
      <x:c r="O76" s="38" t="str">
        <x:f>IF(A76="","",I76-N76)</x:f>
      </x:c>
      <x:c r="P76" s="25"/>
      <x:c r="Q76" s="25"/>
    </x:row>
    <x:row r="77">
      <x:c r="A77" s="25"/>
      <x:c r="B77" s="25"/>
      <x:c r="C77" s="25"/>
      <x:c r="D77" s="25"/>
      <x:c r="E77" s="25"/>
      <x:c r="F77" s="25"/>
      <x:c r="G77" s="39"/>
      <x:c r="H77" s="39"/>
      <x:c r="I77" s="30"/>
      <x:c r="J77" s="30"/>
      <x:c r="K77" s="39"/>
      <x:c r="L77" s="39"/>
      <x:c r="M77" s="39"/>
      <x:c r="N77" s="30"/>
      <x:c r="O77" s="38" t="str">
        <x:f>IF(A77="","",I77-N77)</x:f>
      </x:c>
      <x:c r="P77" s="25"/>
      <x:c r="Q77" s="25"/>
    </x:row>
    <x:row r="78">
      <x:c r="A78" s="25"/>
      <x:c r="B78" s="25"/>
      <x:c r="C78" s="25"/>
      <x:c r="D78" s="25"/>
      <x:c r="E78" s="25"/>
      <x:c r="F78" s="25"/>
      <x:c r="G78" s="39"/>
      <x:c r="H78" s="39"/>
      <x:c r="I78" s="30"/>
      <x:c r="J78" s="30"/>
      <x:c r="K78" s="39"/>
      <x:c r="L78" s="39"/>
      <x:c r="M78" s="39"/>
      <x:c r="N78" s="30"/>
      <x:c r="O78" s="38" t="str">
        <x:f>IF(A78="","",I78-N78)</x:f>
      </x:c>
      <x:c r="P78" s="25"/>
      <x:c r="Q78" s="25"/>
    </x:row>
    <x:row r="79">
      <x:c r="A79" s="25"/>
      <x:c r="B79" s="25"/>
      <x:c r="C79" s="25"/>
      <x:c r="D79" s="25"/>
      <x:c r="E79" s="25"/>
      <x:c r="F79" s="25"/>
      <x:c r="G79" s="39"/>
      <x:c r="H79" s="39"/>
      <x:c r="I79" s="30"/>
      <x:c r="J79" s="30"/>
      <x:c r="K79" s="39"/>
      <x:c r="L79" s="39"/>
      <x:c r="M79" s="39"/>
      <x:c r="N79" s="30"/>
      <x:c r="O79" s="38" t="str">
        <x:f>IF(A79="","",I79-N79)</x:f>
      </x:c>
      <x:c r="P79" s="25"/>
      <x:c r="Q79" s="25"/>
    </x:row>
    <x:row r="80">
      <x:c r="A80" s="25"/>
      <x:c r="B80" s="25"/>
      <x:c r="C80" s="25"/>
      <x:c r="D80" s="25"/>
      <x:c r="E80" s="25"/>
      <x:c r="F80" s="25"/>
      <x:c r="G80" s="39"/>
      <x:c r="H80" s="39"/>
      <x:c r="I80" s="30"/>
      <x:c r="J80" s="30"/>
      <x:c r="K80" s="39"/>
      <x:c r="L80" s="39"/>
      <x:c r="M80" s="39"/>
      <x:c r="N80" s="30"/>
      <x:c r="O80" s="38" t="str">
        <x:f>IF(A80="","",I80-N80)</x:f>
      </x:c>
      <x:c r="P80" s="25"/>
      <x:c r="Q80" s="25"/>
    </x:row>
    <x:row r="81">
      <x:c r="A81" s="25"/>
      <x:c r="B81" s="25"/>
      <x:c r="C81" s="25"/>
      <x:c r="D81" s="25"/>
      <x:c r="E81" s="25"/>
      <x:c r="F81" s="25"/>
      <x:c r="G81" s="39"/>
      <x:c r="H81" s="39"/>
      <x:c r="I81" s="30"/>
      <x:c r="J81" s="30"/>
      <x:c r="K81" s="39"/>
      <x:c r="L81" s="39"/>
      <x:c r="M81" s="39"/>
      <x:c r="N81" s="30"/>
      <x:c r="O81" s="38" t="str">
        <x:f>IF(A81="","",I81-N81)</x:f>
      </x:c>
      <x:c r="P81" s="25"/>
      <x:c r="Q81" s="25"/>
    </x:row>
    <x:row r="82">
      <x:c r="A82" s="25"/>
      <x:c r="B82" s="25"/>
      <x:c r="C82" s="25"/>
      <x:c r="D82" s="25"/>
      <x:c r="E82" s="25"/>
      <x:c r="F82" s="25"/>
      <x:c r="G82" s="39"/>
      <x:c r="H82" s="39"/>
      <x:c r="I82" s="30"/>
      <x:c r="J82" s="30"/>
      <x:c r="K82" s="39"/>
      <x:c r="L82" s="39"/>
      <x:c r="M82" s="39"/>
      <x:c r="N82" s="30"/>
      <x:c r="O82" s="38" t="str">
        <x:f>IF(A82="","",I82-N82)</x:f>
      </x:c>
      <x:c r="P82" s="25"/>
      <x:c r="Q82" s="25"/>
    </x:row>
    <x:row r="83">
      <x:c r="A83" s="25"/>
      <x:c r="B83" s="25"/>
      <x:c r="C83" s="25"/>
      <x:c r="D83" s="25"/>
      <x:c r="E83" s="25"/>
      <x:c r="F83" s="25"/>
      <x:c r="G83" s="39"/>
      <x:c r="H83" s="39"/>
      <x:c r="I83" s="30"/>
      <x:c r="J83" s="30"/>
      <x:c r="K83" s="39"/>
      <x:c r="L83" s="39"/>
      <x:c r="M83" s="39"/>
      <x:c r="N83" s="30"/>
      <x:c r="O83" s="38" t="str">
        <x:f>IF(A83="","",I83-N83)</x:f>
      </x:c>
      <x:c r="P83" s="25"/>
      <x:c r="Q83" s="25"/>
    </x:row>
    <x:row r="84">
      <x:c r="A84" s="25"/>
      <x:c r="B84" s="25"/>
      <x:c r="C84" s="25"/>
      <x:c r="D84" s="25"/>
      <x:c r="E84" s="25"/>
      <x:c r="F84" s="25"/>
      <x:c r="G84" s="39"/>
      <x:c r="H84" s="39"/>
      <x:c r="I84" s="30"/>
      <x:c r="J84" s="30"/>
      <x:c r="K84" s="39"/>
      <x:c r="L84" s="39"/>
      <x:c r="M84" s="39"/>
      <x:c r="N84" s="30"/>
      <x:c r="O84" s="38" t="str">
        <x:f>IF(A84="","",I84-N84)</x:f>
      </x:c>
      <x:c r="P84" s="25"/>
      <x:c r="Q84" s="25"/>
    </x:row>
    <x:row r="85">
      <x:c r="A85" s="25"/>
      <x:c r="B85" s="25"/>
      <x:c r="C85" s="25"/>
      <x:c r="D85" s="25"/>
      <x:c r="E85" s="25"/>
      <x:c r="F85" s="25"/>
      <x:c r="G85" s="39"/>
      <x:c r="H85" s="39"/>
      <x:c r="I85" s="30"/>
      <x:c r="J85" s="30"/>
      <x:c r="K85" s="39"/>
      <x:c r="L85" s="39"/>
      <x:c r="M85" s="39"/>
      <x:c r="N85" s="30"/>
      <x:c r="O85" s="38" t="str">
        <x:f>IF(A85="","",I85-N85)</x:f>
      </x:c>
      <x:c r="P85" s="25"/>
      <x:c r="Q85" s="25"/>
    </x:row>
    <x:row r="86">
      <x:c r="A86" s="25"/>
      <x:c r="B86" s="25"/>
      <x:c r="C86" s="25"/>
      <x:c r="D86" s="25"/>
      <x:c r="E86" s="25"/>
      <x:c r="F86" s="25"/>
      <x:c r="G86" s="39"/>
      <x:c r="H86" s="39"/>
      <x:c r="I86" s="30"/>
      <x:c r="J86" s="30"/>
      <x:c r="K86" s="39"/>
      <x:c r="L86" s="39"/>
      <x:c r="M86" s="39"/>
      <x:c r="N86" s="30"/>
      <x:c r="O86" s="38" t="str">
        <x:f>IF(A86="","",I86-N86)</x:f>
      </x:c>
      <x:c r="P86" s="25"/>
      <x:c r="Q86" s="25"/>
    </x:row>
    <x:row r="87">
      <x:c r="A87" s="25"/>
      <x:c r="B87" s="25"/>
      <x:c r="C87" s="25"/>
      <x:c r="D87" s="25"/>
      <x:c r="E87" s="25"/>
      <x:c r="F87" s="25"/>
      <x:c r="G87" s="39"/>
      <x:c r="H87" s="39"/>
      <x:c r="I87" s="30"/>
      <x:c r="J87" s="30"/>
      <x:c r="K87" s="39"/>
      <x:c r="L87" s="39"/>
      <x:c r="M87" s="39"/>
      <x:c r="N87" s="30"/>
      <x:c r="O87" s="38" t="str">
        <x:f>IF(A87="","",I87-N87)</x:f>
      </x:c>
      <x:c r="P87" s="25"/>
      <x:c r="Q87" s="25"/>
    </x:row>
    <x:row r="88">
      <x:c r="A88" s="25"/>
      <x:c r="B88" s="25"/>
      <x:c r="C88" s="25"/>
      <x:c r="D88" s="25"/>
      <x:c r="E88" s="25"/>
      <x:c r="F88" s="25"/>
      <x:c r="G88" s="39"/>
      <x:c r="H88" s="39"/>
      <x:c r="I88" s="30"/>
      <x:c r="J88" s="30"/>
      <x:c r="K88" s="39"/>
      <x:c r="L88" s="39"/>
      <x:c r="M88" s="39"/>
      <x:c r="N88" s="30"/>
      <x:c r="O88" s="38" t="str">
        <x:f>IF(A88="","",I88-N88)</x:f>
      </x:c>
      <x:c r="P88" s="25"/>
      <x:c r="Q88" s="25"/>
    </x:row>
    <x:row r="89">
      <x:c r="A89" s="25"/>
      <x:c r="B89" s="25"/>
      <x:c r="C89" s="25"/>
      <x:c r="D89" s="25"/>
      <x:c r="E89" s="25"/>
      <x:c r="F89" s="25"/>
      <x:c r="G89" s="39"/>
      <x:c r="H89" s="39"/>
      <x:c r="I89" s="30"/>
      <x:c r="J89" s="30"/>
      <x:c r="K89" s="39"/>
      <x:c r="L89" s="39"/>
      <x:c r="M89" s="39"/>
      <x:c r="N89" s="30"/>
      <x:c r="O89" s="38" t="str">
        <x:f>IF(A89="","",I89-N89)</x:f>
      </x:c>
      <x:c r="P89" s="25"/>
      <x:c r="Q89" s="25"/>
    </x:row>
    <x:row r="90">
      <x:c r="A90" s="25"/>
      <x:c r="B90" s="25"/>
      <x:c r="C90" s="25"/>
      <x:c r="D90" s="25"/>
      <x:c r="E90" s="25"/>
      <x:c r="F90" s="25"/>
      <x:c r="G90" s="39"/>
      <x:c r="H90" s="39"/>
      <x:c r="I90" s="30"/>
      <x:c r="J90" s="30"/>
      <x:c r="K90" s="39"/>
      <x:c r="L90" s="39"/>
      <x:c r="M90" s="39"/>
      <x:c r="N90" s="30"/>
      <x:c r="O90" s="38" t="str">
        <x:f>IF(A90="","",I90-N90)</x:f>
      </x:c>
      <x:c r="P90" s="25"/>
      <x:c r="Q90" s="25"/>
    </x:row>
    <x:row r="91">
      <x:c r="A91" s="25"/>
      <x:c r="B91" s="25"/>
      <x:c r="C91" s="25"/>
      <x:c r="D91" s="25"/>
      <x:c r="E91" s="25"/>
      <x:c r="F91" s="25"/>
      <x:c r="G91" s="39"/>
      <x:c r="H91" s="39"/>
      <x:c r="I91" s="30"/>
      <x:c r="J91" s="30"/>
      <x:c r="K91" s="39"/>
      <x:c r="L91" s="39"/>
      <x:c r="M91" s="39"/>
      <x:c r="N91" s="30"/>
      <x:c r="O91" s="38" t="str">
        <x:f>IF(A91="","",I91-N91)</x:f>
      </x:c>
      <x:c r="P91" s="25"/>
      <x:c r="Q91" s="25"/>
    </x:row>
    <x:row r="92">
      <x:c r="A92" s="25"/>
      <x:c r="B92" s="25"/>
      <x:c r="C92" s="25"/>
      <x:c r="D92" s="25"/>
      <x:c r="E92" s="25"/>
      <x:c r="F92" s="25"/>
      <x:c r="G92" s="39"/>
      <x:c r="H92" s="39"/>
      <x:c r="I92" s="30"/>
      <x:c r="J92" s="30"/>
      <x:c r="K92" s="39"/>
      <x:c r="L92" s="39"/>
      <x:c r="M92" s="39"/>
      <x:c r="N92" s="30"/>
      <x:c r="O92" s="38" t="str">
        <x:f>IF(A92="","",I92-N92)</x:f>
      </x:c>
      <x:c r="P92" s="25"/>
      <x:c r="Q92" s="25"/>
    </x:row>
    <x:row r="93">
      <x:c r="A93" s="25"/>
      <x:c r="B93" s="25"/>
      <x:c r="C93" s="25"/>
      <x:c r="D93" s="25"/>
      <x:c r="E93" s="25"/>
      <x:c r="F93" s="25"/>
      <x:c r="G93" s="39"/>
      <x:c r="H93" s="39"/>
      <x:c r="I93" s="30"/>
      <x:c r="J93" s="30"/>
      <x:c r="K93" s="39"/>
      <x:c r="L93" s="39"/>
      <x:c r="M93" s="39"/>
      <x:c r="N93" s="30"/>
      <x:c r="O93" s="38" t="str">
        <x:f>IF(A93="","",I93-N93)</x:f>
      </x:c>
      <x:c r="P93" s="25"/>
      <x:c r="Q93" s="25"/>
    </x:row>
    <x:row r="94">
      <x:c r="A94" s="25"/>
      <x:c r="B94" s="25"/>
      <x:c r="C94" s="25"/>
      <x:c r="D94" s="25"/>
      <x:c r="E94" s="25"/>
      <x:c r="F94" s="25"/>
      <x:c r="G94" s="39"/>
      <x:c r="H94" s="39"/>
      <x:c r="I94" s="30"/>
      <x:c r="J94" s="30"/>
      <x:c r="K94" s="39"/>
      <x:c r="L94" s="39"/>
      <x:c r="M94" s="39"/>
      <x:c r="N94" s="30"/>
      <x:c r="O94" s="38" t="str">
        <x:f>IF(A94="","",I94-N94)</x:f>
      </x:c>
      <x:c r="P94" s="25"/>
      <x:c r="Q94" s="25"/>
    </x:row>
    <x:row r="95">
      <x:c r="A95" s="25"/>
      <x:c r="B95" s="25"/>
      <x:c r="C95" s="25"/>
      <x:c r="D95" s="25"/>
      <x:c r="E95" s="25"/>
      <x:c r="F95" s="25"/>
      <x:c r="G95" s="39"/>
      <x:c r="H95" s="39"/>
      <x:c r="I95" s="30"/>
      <x:c r="J95" s="30"/>
      <x:c r="K95" s="39"/>
      <x:c r="L95" s="39"/>
      <x:c r="M95" s="39"/>
      <x:c r="N95" s="30"/>
      <x:c r="O95" s="38" t="str">
        <x:f>IF(A95="","",I95-N95)</x:f>
      </x:c>
      <x:c r="P95" s="25"/>
      <x:c r="Q95" s="25"/>
    </x:row>
    <x:row r="96">
      <x:c r="A96" s="25"/>
      <x:c r="B96" s="25"/>
      <x:c r="C96" s="25"/>
      <x:c r="D96" s="25"/>
      <x:c r="E96" s="25"/>
      <x:c r="F96" s="25"/>
      <x:c r="G96" s="39"/>
      <x:c r="H96" s="39"/>
      <x:c r="I96" s="30"/>
      <x:c r="J96" s="30"/>
      <x:c r="K96" s="39"/>
      <x:c r="L96" s="39"/>
      <x:c r="M96" s="39"/>
      <x:c r="N96" s="30"/>
      <x:c r="O96" s="38" t="str">
        <x:f>IF(A96="","",I96-N96)</x:f>
      </x:c>
      <x:c r="P96" s="25"/>
      <x:c r="Q96" s="25"/>
    </x:row>
    <x:row r="97">
      <x:c r="A97" s="25"/>
      <x:c r="B97" s="25"/>
      <x:c r="C97" s="25"/>
      <x:c r="D97" s="25"/>
      <x:c r="E97" s="25"/>
      <x:c r="F97" s="25"/>
      <x:c r="G97" s="39"/>
      <x:c r="H97" s="39"/>
      <x:c r="I97" s="30"/>
      <x:c r="J97" s="30"/>
      <x:c r="K97" s="39"/>
      <x:c r="L97" s="39"/>
      <x:c r="M97" s="39"/>
      <x:c r="N97" s="30"/>
      <x:c r="O97" s="38" t="str">
        <x:f>IF(A97="","",I97-N97)</x:f>
      </x:c>
      <x:c r="P97" s="25"/>
      <x:c r="Q97" s="25"/>
    </x:row>
    <x:row r="98">
      <x:c r="A98" s="25"/>
      <x:c r="B98" s="25"/>
      <x:c r="C98" s="25"/>
      <x:c r="D98" s="25"/>
      <x:c r="E98" s="25"/>
      <x:c r="F98" s="25"/>
      <x:c r="G98" s="39"/>
      <x:c r="H98" s="39"/>
      <x:c r="I98" s="30"/>
      <x:c r="J98" s="30"/>
      <x:c r="K98" s="39"/>
      <x:c r="L98" s="39"/>
      <x:c r="M98" s="39"/>
      <x:c r="N98" s="30"/>
      <x:c r="O98" s="38" t="str">
        <x:f>IF(A98="","",I98-N98)</x:f>
      </x:c>
      <x:c r="P98" s="25"/>
      <x:c r="Q98" s="25"/>
    </x:row>
    <x:row r="99">
      <x:c r="A99" s="25"/>
      <x:c r="B99" s="25"/>
      <x:c r="C99" s="25"/>
      <x:c r="D99" s="25"/>
      <x:c r="E99" s="25"/>
      <x:c r="F99" s="25"/>
      <x:c r="G99" s="39"/>
      <x:c r="H99" s="39"/>
      <x:c r="I99" s="30"/>
      <x:c r="J99" s="30"/>
      <x:c r="K99" s="39"/>
      <x:c r="L99" s="39"/>
      <x:c r="M99" s="39"/>
      <x:c r="N99" s="30"/>
      <x:c r="O99" s="38" t="str">
        <x:f>IF(A99="","",I99-N99)</x:f>
      </x:c>
      <x:c r="P99" s="25"/>
      <x:c r="Q99" s="25"/>
    </x:row>
    <x:row r="100">
      <x:c r="A100" s="25"/>
      <x:c r="B100" s="25"/>
      <x:c r="C100" s="25"/>
      <x:c r="D100" s="25"/>
      <x:c r="E100" s="25"/>
      <x:c r="F100" s="25"/>
      <x:c r="G100" s="39"/>
      <x:c r="H100" s="39"/>
      <x:c r="I100" s="30"/>
      <x:c r="J100" s="30"/>
      <x:c r="K100" s="39"/>
      <x:c r="L100" s="39"/>
      <x:c r="M100" s="39"/>
      <x:c r="N100" s="30"/>
      <x:c r="O100" s="38" t="str">
        <x:f>IF(A100="","",I100-N100)</x:f>
      </x:c>
      <x:c r="P100" s="25"/>
      <x:c r="Q100" s="25"/>
    </x:row>
    <x:row r="101">
      <x:c r="A101" s="25"/>
      <x:c r="B101" s="25"/>
      <x:c r="C101" s="25"/>
      <x:c r="D101" s="25"/>
      <x:c r="E101" s="25"/>
      <x:c r="F101" s="25"/>
      <x:c r="G101" s="39"/>
      <x:c r="H101" s="39"/>
      <x:c r="I101" s="30"/>
      <x:c r="J101" s="30"/>
      <x:c r="K101" s="39"/>
      <x:c r="L101" s="39"/>
      <x:c r="M101" s="39"/>
      <x:c r="N101" s="30"/>
      <x:c r="O101" s="38" t="str">
        <x:f>IF(A101="","",I101-N101)</x:f>
      </x:c>
      <x:c r="P101" s="25"/>
      <x:c r="Q101" s="25"/>
    </x:row>
    <x:row r="102">
      <x:c r="A102" s="25"/>
      <x:c r="B102" s="25"/>
      <x:c r="C102" s="25"/>
      <x:c r="D102" s="25"/>
      <x:c r="E102" s="25"/>
      <x:c r="F102" s="25"/>
      <x:c r="G102" s="39"/>
      <x:c r="H102" s="39"/>
      <x:c r="I102" s="30"/>
      <x:c r="J102" s="30"/>
      <x:c r="K102" s="39"/>
      <x:c r="L102" s="39"/>
      <x:c r="M102" s="39"/>
      <x:c r="N102" s="30"/>
      <x:c r="O102" s="38" t="str">
        <x:f>IF(A102="","",I102-N102)</x:f>
      </x:c>
      <x:c r="P102" s="25"/>
      <x:c r="Q102" s="25"/>
    </x:row>
    <x:row r="103">
      <x:c r="A103" s="25"/>
      <x:c r="B103" s="25"/>
      <x:c r="C103" s="25"/>
      <x:c r="D103" s="25"/>
      <x:c r="E103" s="25"/>
      <x:c r="F103" s="25"/>
      <x:c r="G103" s="39"/>
      <x:c r="H103" s="39"/>
      <x:c r="I103" s="30"/>
      <x:c r="J103" s="30"/>
      <x:c r="K103" s="39"/>
      <x:c r="L103" s="39"/>
      <x:c r="M103" s="39"/>
      <x:c r="N103" s="30"/>
      <x:c r="O103" s="38" t="str">
        <x:f>IF(A103="","",I103-N103)</x:f>
      </x:c>
      <x:c r="P103" s="25"/>
      <x:c r="Q103" s="25"/>
    </x:row>
    <x:row r="104">
      <x:c r="A104" s="25"/>
      <x:c r="B104" s="25"/>
      <x:c r="C104" s="25"/>
      <x:c r="D104" s="25"/>
      <x:c r="E104" s="25"/>
      <x:c r="F104" s="25"/>
      <x:c r="G104" s="39"/>
      <x:c r="H104" s="39"/>
      <x:c r="I104" s="30"/>
      <x:c r="J104" s="30"/>
      <x:c r="K104" s="39"/>
      <x:c r="L104" s="39"/>
      <x:c r="M104" s="39"/>
      <x:c r="N104" s="30"/>
      <x:c r="O104" s="38" t="str">
        <x:f>IF(A104="","",I104-N104)</x:f>
      </x:c>
      <x:c r="P104" s="25"/>
      <x:c r="Q104" s="25"/>
    </x:row>
    <x:row r="105">
      <x:c r="A105" s="25"/>
      <x:c r="B105" s="25"/>
      <x:c r="C105" s="25"/>
      <x:c r="D105" s="25"/>
      <x:c r="E105" s="25"/>
      <x:c r="F105" s="25"/>
      <x:c r="G105" s="39"/>
      <x:c r="H105" s="39"/>
      <x:c r="I105" s="30"/>
      <x:c r="J105" s="30"/>
      <x:c r="K105" s="39"/>
      <x:c r="L105" s="39"/>
      <x:c r="M105" s="39"/>
      <x:c r="N105" s="30"/>
      <x:c r="O105" s="38" t="str">
        <x:f>IF(A105="","",I105-N105)</x:f>
      </x:c>
      <x:c r="P105" s="25"/>
      <x:c r="Q105" s="25"/>
    </x:row>
    <x:row r="106">
      <x:c r="A106" s="25"/>
      <x:c r="B106" s="25"/>
      <x:c r="C106" s="25"/>
      <x:c r="D106" s="25"/>
      <x:c r="E106" s="25"/>
      <x:c r="F106" s="25"/>
      <x:c r="G106" s="39"/>
      <x:c r="H106" s="39"/>
      <x:c r="I106" s="30"/>
      <x:c r="J106" s="30"/>
      <x:c r="K106" s="39"/>
      <x:c r="L106" s="39"/>
      <x:c r="M106" s="39"/>
      <x:c r="N106" s="30"/>
      <x:c r="O106" s="38" t="str">
        <x:f>IF(A106="","",I106-N106)</x:f>
      </x:c>
      <x:c r="P106" s="25"/>
      <x:c r="Q106" s="25"/>
    </x:row>
    <x:row r="107">
      <x:c r="A107" s="25"/>
      <x:c r="B107" s="25"/>
      <x:c r="C107" s="25"/>
      <x:c r="D107" s="25"/>
      <x:c r="E107" s="25"/>
      <x:c r="F107" s="25"/>
      <x:c r="G107" s="39"/>
      <x:c r="H107" s="39"/>
      <x:c r="I107" s="30"/>
      <x:c r="J107" s="30"/>
      <x:c r="K107" s="39"/>
      <x:c r="L107" s="39"/>
      <x:c r="M107" s="39"/>
      <x:c r="N107" s="30"/>
      <x:c r="O107" s="38" t="str">
        <x:f>IF(A107="","",I107-N107)</x:f>
      </x:c>
      <x:c r="P107" s="25"/>
      <x:c r="Q107" s="25"/>
    </x:row>
    <x:row r="108">
      <x:c r="A108" s="25"/>
      <x:c r="B108" s="25"/>
      <x:c r="C108" s="25"/>
      <x:c r="D108" s="25"/>
      <x:c r="E108" s="25"/>
      <x:c r="F108" s="25"/>
      <x:c r="G108" s="39"/>
      <x:c r="H108" s="39"/>
      <x:c r="I108" s="30"/>
      <x:c r="J108" s="30"/>
      <x:c r="K108" s="39"/>
      <x:c r="L108" s="39"/>
      <x:c r="M108" s="39"/>
      <x:c r="N108" s="30"/>
      <x:c r="O108" s="38" t="str">
        <x:f>IF(A108="","",I108-N108)</x:f>
      </x:c>
      <x:c r="P108" s="25"/>
      <x:c r="Q108" s="25"/>
    </x:row>
    <x:row r="109">
      <x:c r="A109" s="25"/>
      <x:c r="B109" s="25"/>
      <x:c r="C109" s="25"/>
      <x:c r="D109" s="25"/>
      <x:c r="E109" s="25"/>
      <x:c r="F109" s="25"/>
      <x:c r="G109" s="39"/>
      <x:c r="H109" s="39"/>
      <x:c r="I109" s="30"/>
      <x:c r="J109" s="30"/>
      <x:c r="K109" s="39"/>
      <x:c r="L109" s="39"/>
      <x:c r="M109" s="39"/>
      <x:c r="N109" s="30"/>
      <x:c r="O109" s="38" t="str">
        <x:f>IF(A109="","",I109-N109)</x:f>
      </x:c>
      <x:c r="P109" s="25"/>
      <x:c r="Q109" s="25"/>
    </x:row>
    <x:row r="110">
      <x:c r="A110" s="25"/>
      <x:c r="B110" s="25"/>
      <x:c r="C110" s="25"/>
      <x:c r="D110" s="25"/>
      <x:c r="E110" s="25"/>
      <x:c r="F110" s="25"/>
      <x:c r="G110" s="39"/>
      <x:c r="H110" s="39"/>
      <x:c r="I110" s="30"/>
      <x:c r="J110" s="30"/>
      <x:c r="K110" s="39"/>
      <x:c r="L110" s="39"/>
      <x:c r="M110" s="39"/>
      <x:c r="N110" s="30"/>
      <x:c r="O110" s="38" t="str">
        <x:f>IF(A110="","",I110-N110)</x:f>
      </x:c>
      <x:c r="P110" s="25"/>
      <x:c r="Q110" s="25"/>
    </x:row>
    <x:row r="111">
      <x:c r="A111" s="25"/>
      <x:c r="B111" s="25"/>
      <x:c r="C111" s="25"/>
      <x:c r="D111" s="25"/>
      <x:c r="E111" s="25"/>
      <x:c r="F111" s="25"/>
      <x:c r="G111" s="39"/>
      <x:c r="H111" s="39"/>
      <x:c r="I111" s="30"/>
      <x:c r="J111" s="30"/>
      <x:c r="K111" s="39"/>
      <x:c r="L111" s="39"/>
      <x:c r="M111" s="39"/>
      <x:c r="N111" s="30"/>
      <x:c r="O111" s="38" t="str">
        <x:f>IF(A111="","",I111-N111)</x:f>
      </x:c>
      <x:c r="P111" s="25"/>
      <x:c r="Q111" s="25"/>
    </x:row>
    <x:row r="112">
      <x:c r="A112" s="25"/>
      <x:c r="B112" s="25"/>
      <x:c r="C112" s="25"/>
      <x:c r="D112" s="25"/>
      <x:c r="E112" s="25"/>
      <x:c r="F112" s="25"/>
      <x:c r="G112" s="39"/>
      <x:c r="H112" s="39"/>
      <x:c r="I112" s="30"/>
      <x:c r="J112" s="30"/>
      <x:c r="K112" s="39"/>
      <x:c r="L112" s="39"/>
      <x:c r="M112" s="39"/>
      <x:c r="N112" s="30"/>
      <x:c r="O112" s="38" t="str">
        <x:f>IF(A112="","",I112-N112)</x:f>
      </x:c>
      <x:c r="P112" s="25"/>
      <x:c r="Q112" s="25"/>
    </x:row>
    <x:row r="113">
      <x:c r="A113" s="25"/>
      <x:c r="B113" s="25"/>
      <x:c r="C113" s="25"/>
      <x:c r="D113" s="25"/>
      <x:c r="E113" s="25"/>
      <x:c r="F113" s="25"/>
      <x:c r="G113" s="39"/>
      <x:c r="H113" s="39"/>
      <x:c r="I113" s="30"/>
      <x:c r="J113" s="30"/>
      <x:c r="K113" s="39"/>
      <x:c r="L113" s="39"/>
      <x:c r="M113" s="39"/>
      <x:c r="N113" s="30"/>
      <x:c r="O113" s="38" t="str">
        <x:f>IF(A113="","",I113-N113)</x:f>
      </x:c>
      <x:c r="P113" s="25"/>
      <x:c r="Q113" s="25"/>
    </x:row>
    <x:row r="114">
      <x:c r="A114" s="25"/>
      <x:c r="B114" s="25"/>
      <x:c r="C114" s="25"/>
      <x:c r="D114" s="25"/>
      <x:c r="E114" s="25"/>
      <x:c r="F114" s="25"/>
      <x:c r="G114" s="39"/>
      <x:c r="H114" s="39"/>
      <x:c r="I114" s="30"/>
      <x:c r="J114" s="30"/>
      <x:c r="K114" s="39"/>
      <x:c r="L114" s="39"/>
      <x:c r="M114" s="39"/>
      <x:c r="N114" s="30"/>
      <x:c r="O114" s="38" t="str">
        <x:f>IF(A114="","",I114-N114)</x:f>
      </x:c>
      <x:c r="P114" s="25"/>
      <x:c r="Q114" s="25"/>
    </x:row>
    <x:row r="115">
      <x:c r="A115" s="25"/>
      <x:c r="B115" s="25"/>
      <x:c r="C115" s="25"/>
      <x:c r="D115" s="25"/>
      <x:c r="E115" s="25"/>
      <x:c r="F115" s="25"/>
      <x:c r="G115" s="39"/>
      <x:c r="H115" s="39"/>
      <x:c r="I115" s="30"/>
      <x:c r="J115" s="30"/>
      <x:c r="K115" s="39"/>
      <x:c r="L115" s="39"/>
      <x:c r="M115" s="39"/>
      <x:c r="N115" s="30"/>
      <x:c r="O115" s="38" t="str">
        <x:f>IF(A115="","",I115-N115)</x:f>
      </x:c>
      <x:c r="P115" s="25"/>
      <x:c r="Q115" s="25"/>
    </x:row>
    <x:row r="116">
      <x:c r="A116" s="25"/>
      <x:c r="B116" s="25"/>
      <x:c r="C116" s="25"/>
      <x:c r="D116" s="25"/>
      <x:c r="E116" s="25"/>
      <x:c r="F116" s="25"/>
      <x:c r="G116" s="39"/>
      <x:c r="H116" s="39"/>
      <x:c r="I116" s="30"/>
      <x:c r="J116" s="30"/>
      <x:c r="K116" s="39"/>
      <x:c r="L116" s="39"/>
      <x:c r="M116" s="39"/>
      <x:c r="N116" s="30"/>
      <x:c r="O116" s="38" t="str">
        <x:f>IF(A116="","",I116-N116)</x:f>
      </x:c>
      <x:c r="P116" s="25"/>
      <x:c r="Q116" s="25"/>
    </x:row>
    <x:row r="117">
      <x:c r="A117" s="25"/>
      <x:c r="B117" s="25"/>
      <x:c r="C117" s="25"/>
      <x:c r="D117" s="25"/>
      <x:c r="E117" s="25"/>
      <x:c r="F117" s="25"/>
      <x:c r="G117" s="39"/>
      <x:c r="H117" s="39"/>
      <x:c r="I117" s="30"/>
      <x:c r="J117" s="30"/>
      <x:c r="K117" s="39"/>
      <x:c r="L117" s="39"/>
      <x:c r="M117" s="39"/>
      <x:c r="N117" s="30"/>
      <x:c r="O117" s="38" t="str">
        <x:f>IF(A117="","",I117-N117)</x:f>
      </x:c>
      <x:c r="P117" s="25"/>
      <x:c r="Q117" s="25"/>
    </x:row>
    <x:row r="118">
      <x:c r="A118" s="25"/>
      <x:c r="B118" s="25"/>
      <x:c r="C118" s="25"/>
      <x:c r="D118" s="25"/>
      <x:c r="E118" s="25"/>
      <x:c r="F118" s="25"/>
      <x:c r="G118" s="39"/>
      <x:c r="H118" s="39"/>
      <x:c r="I118" s="30"/>
      <x:c r="J118" s="30"/>
      <x:c r="K118" s="39"/>
      <x:c r="L118" s="39"/>
      <x:c r="M118" s="39"/>
      <x:c r="N118" s="30"/>
      <x:c r="O118" s="38" t="str">
        <x:f>IF(A118="","",I118-N118)</x:f>
      </x:c>
      <x:c r="P118" s="25"/>
      <x:c r="Q118" s="25"/>
    </x:row>
    <x:row r="119">
      <x:c r="A119" s="25"/>
      <x:c r="B119" s="25"/>
      <x:c r="C119" s="25"/>
      <x:c r="D119" s="25"/>
      <x:c r="E119" s="25"/>
      <x:c r="F119" s="25"/>
      <x:c r="G119" s="39"/>
      <x:c r="H119" s="39"/>
      <x:c r="I119" s="30"/>
      <x:c r="J119" s="30"/>
      <x:c r="K119" s="39"/>
      <x:c r="L119" s="39"/>
      <x:c r="M119" s="39"/>
      <x:c r="N119" s="30"/>
      <x:c r="O119" s="38" t="str">
        <x:f>IF(A119="","",I119-N119)</x:f>
      </x:c>
      <x:c r="P119" s="25"/>
      <x:c r="Q119" s="25"/>
    </x:row>
    <x:row r="120">
      <x:c r="A120" s="25"/>
      <x:c r="B120" s="25"/>
      <x:c r="C120" s="25"/>
      <x:c r="D120" s="25"/>
      <x:c r="E120" s="25"/>
      <x:c r="F120" s="25"/>
      <x:c r="G120" s="39"/>
      <x:c r="H120" s="39"/>
      <x:c r="I120" s="30"/>
      <x:c r="J120" s="30"/>
      <x:c r="K120" s="39"/>
      <x:c r="L120" s="39"/>
      <x:c r="M120" s="39"/>
      <x:c r="N120" s="30"/>
      <x:c r="O120" s="38" t="str">
        <x:f>IF(A120="","",I120-N120)</x:f>
      </x:c>
      <x:c r="P120" s="25"/>
      <x:c r="Q120" s="25"/>
    </x:row>
    <x:row r="121">
      <x:c r="A121" s="25"/>
      <x:c r="B121" s="25"/>
      <x:c r="C121" s="25"/>
      <x:c r="D121" s="25"/>
      <x:c r="E121" s="25"/>
      <x:c r="F121" s="25"/>
      <x:c r="G121" s="39"/>
      <x:c r="H121" s="39"/>
      <x:c r="I121" s="30"/>
      <x:c r="J121" s="30"/>
      <x:c r="K121" s="39"/>
      <x:c r="L121" s="39"/>
      <x:c r="M121" s="39"/>
      <x:c r="N121" s="30"/>
      <x:c r="O121" s="38" t="str">
        <x:f>IF(A121="","",I121-N121)</x:f>
      </x:c>
      <x:c r="P121" s="25"/>
      <x:c r="Q121" s="25"/>
    </x:row>
    <x:row r="122">
      <x:c r="A122" s="25"/>
      <x:c r="B122" s="25"/>
      <x:c r="C122" s="25"/>
      <x:c r="D122" s="25"/>
      <x:c r="E122" s="25"/>
      <x:c r="F122" s="25"/>
      <x:c r="G122" s="39"/>
      <x:c r="H122" s="39"/>
      <x:c r="I122" s="30"/>
      <x:c r="J122" s="30"/>
      <x:c r="K122" s="39"/>
      <x:c r="L122" s="39"/>
      <x:c r="M122" s="39"/>
      <x:c r="N122" s="30"/>
      <x:c r="O122" s="38" t="str">
        <x:f>IF(A122="","",I122-N122)</x:f>
      </x:c>
      <x:c r="P122" s="25"/>
      <x:c r="Q122" s="25"/>
    </x:row>
    <x:row r="123">
      <x:c r="A123" s="25"/>
      <x:c r="B123" s="25"/>
      <x:c r="C123" s="25"/>
      <x:c r="D123" s="25"/>
      <x:c r="E123" s="25"/>
      <x:c r="F123" s="25"/>
      <x:c r="G123" s="39"/>
      <x:c r="H123" s="39"/>
      <x:c r="I123" s="30"/>
      <x:c r="J123" s="30"/>
      <x:c r="K123" s="39"/>
      <x:c r="L123" s="39"/>
      <x:c r="M123" s="39"/>
      <x:c r="N123" s="30"/>
      <x:c r="O123" s="38" t="str">
        <x:f>IF(A123="","",I123-N123)</x:f>
      </x:c>
      <x:c r="P123" s="25"/>
      <x:c r="Q123" s="25"/>
    </x:row>
    <x:row r="124">
      <x:c r="A124" s="25"/>
      <x:c r="B124" s="25"/>
      <x:c r="C124" s="25"/>
      <x:c r="D124" s="25"/>
      <x:c r="E124" s="25"/>
      <x:c r="F124" s="25"/>
      <x:c r="G124" s="39"/>
      <x:c r="H124" s="39"/>
      <x:c r="I124" s="30"/>
      <x:c r="J124" s="30"/>
      <x:c r="K124" s="39"/>
      <x:c r="L124" s="39"/>
      <x:c r="M124" s="39"/>
      <x:c r="N124" s="30"/>
      <x:c r="O124" s="38" t="str">
        <x:f>IF(A124="","",I124-N124)</x:f>
      </x:c>
      <x:c r="P124" s="25"/>
      <x:c r="Q124" s="25"/>
    </x:row>
    <x:row r="125">
      <x:c r="A125" s="25"/>
      <x:c r="B125" s="25"/>
      <x:c r="C125" s="25"/>
      <x:c r="D125" s="25"/>
      <x:c r="E125" s="25"/>
      <x:c r="F125" s="25"/>
      <x:c r="G125" s="39"/>
      <x:c r="H125" s="39"/>
      <x:c r="I125" s="30"/>
      <x:c r="J125" s="30"/>
      <x:c r="K125" s="39"/>
      <x:c r="L125" s="39"/>
      <x:c r="M125" s="39"/>
      <x:c r="N125" s="30"/>
      <x:c r="O125" s="38" t="str">
        <x:f>IF(A125="","",I125-N125)</x:f>
      </x:c>
      <x:c r="P125" s="25"/>
      <x:c r="Q125" s="25"/>
    </x:row>
    <x:row r="126">
      <x:c r="A126" s="25"/>
      <x:c r="B126" s="25"/>
      <x:c r="C126" s="25"/>
      <x:c r="D126" s="25"/>
      <x:c r="E126" s="25"/>
      <x:c r="F126" s="25"/>
      <x:c r="G126" s="39"/>
      <x:c r="H126" s="39"/>
      <x:c r="I126" s="30"/>
      <x:c r="J126" s="30"/>
      <x:c r="K126" s="39"/>
      <x:c r="L126" s="39"/>
      <x:c r="M126" s="39"/>
      <x:c r="N126" s="30"/>
      <x:c r="O126" s="38" t="str">
        <x:f>IF(A126="","",I126-N126)</x:f>
      </x:c>
      <x:c r="P126" s="25"/>
      <x:c r="Q126" s="25"/>
    </x:row>
    <x:row r="127">
      <x:c r="A127" s="25"/>
      <x:c r="B127" s="25"/>
      <x:c r="C127" s="25"/>
      <x:c r="D127" s="25"/>
      <x:c r="E127" s="25"/>
      <x:c r="F127" s="25"/>
      <x:c r="G127" s="39"/>
      <x:c r="H127" s="39"/>
      <x:c r="I127" s="30"/>
      <x:c r="J127" s="30"/>
      <x:c r="K127" s="39"/>
      <x:c r="L127" s="39"/>
      <x:c r="M127" s="39"/>
      <x:c r="N127" s="30"/>
      <x:c r="O127" s="38" t="str">
        <x:f>IF(A127="","",I127-N127)</x:f>
      </x:c>
      <x:c r="P127" s="25"/>
      <x:c r="Q127" s="25"/>
    </x:row>
    <x:row r="128">
      <x:c r="A128" s="25"/>
      <x:c r="B128" s="25"/>
      <x:c r="C128" s="25"/>
      <x:c r="D128" s="25"/>
      <x:c r="E128" s="25"/>
      <x:c r="F128" s="25"/>
      <x:c r="G128" s="39"/>
      <x:c r="H128" s="39"/>
      <x:c r="I128" s="30"/>
      <x:c r="J128" s="30"/>
      <x:c r="K128" s="39"/>
      <x:c r="L128" s="39"/>
      <x:c r="M128" s="39"/>
      <x:c r="N128" s="30"/>
      <x:c r="O128" s="38" t="str">
        <x:f>IF(A128="","",I128-N128)</x:f>
      </x:c>
      <x:c r="P128" s="25"/>
      <x:c r="Q128" s="25"/>
    </x:row>
    <x:row r="129">
      <x:c r="A129" s="25"/>
      <x:c r="B129" s="25"/>
      <x:c r="C129" s="25"/>
      <x:c r="D129" s="25"/>
      <x:c r="E129" s="25"/>
      <x:c r="F129" s="25"/>
      <x:c r="G129" s="39"/>
      <x:c r="H129" s="39"/>
      <x:c r="I129" s="30"/>
      <x:c r="J129" s="30"/>
      <x:c r="K129" s="39"/>
      <x:c r="L129" s="39"/>
      <x:c r="M129" s="39"/>
      <x:c r="N129" s="30"/>
      <x:c r="O129" s="38" t="str">
        <x:f>IF(A129="","",I129-N129)</x:f>
      </x:c>
      <x:c r="P129" s="25"/>
      <x:c r="Q129" s="25"/>
    </x:row>
    <x:row r="130">
      <x:c r="A130" s="25"/>
      <x:c r="B130" s="25"/>
      <x:c r="C130" s="25"/>
      <x:c r="D130" s="25"/>
      <x:c r="E130" s="25"/>
      <x:c r="F130" s="25"/>
      <x:c r="G130" s="39"/>
      <x:c r="H130" s="39"/>
      <x:c r="I130" s="30"/>
      <x:c r="J130" s="30"/>
      <x:c r="K130" s="39"/>
      <x:c r="L130" s="39"/>
      <x:c r="M130" s="39"/>
      <x:c r="N130" s="30"/>
      <x:c r="O130" s="38" t="str">
        <x:f>IF(A130="","",I130-N130)</x:f>
      </x:c>
      <x:c r="P130" s="25"/>
      <x:c r="Q130" s="25"/>
    </x:row>
    <x:row r="131">
      <x:c r="A131" s="25"/>
      <x:c r="B131" s="25"/>
      <x:c r="C131" s="25"/>
      <x:c r="D131" s="25"/>
      <x:c r="E131" s="25"/>
      <x:c r="F131" s="25"/>
      <x:c r="G131" s="39"/>
      <x:c r="H131" s="39"/>
      <x:c r="I131" s="30"/>
      <x:c r="J131" s="30"/>
      <x:c r="K131" s="39"/>
      <x:c r="L131" s="39"/>
      <x:c r="M131" s="39"/>
      <x:c r="N131" s="30"/>
      <x:c r="O131" s="38" t="str">
        <x:f>IF(A131="","",I131-N131)</x:f>
      </x:c>
      <x:c r="P131" s="25"/>
      <x:c r="Q131" s="25"/>
    </x:row>
    <x:row r="132">
      <x:c r="A132" s="25"/>
      <x:c r="B132" s="25"/>
      <x:c r="C132" s="25"/>
      <x:c r="D132" s="25"/>
      <x:c r="E132" s="25"/>
      <x:c r="F132" s="25"/>
      <x:c r="G132" s="39"/>
      <x:c r="H132" s="39"/>
      <x:c r="I132" s="30"/>
      <x:c r="J132" s="30"/>
      <x:c r="K132" s="39"/>
      <x:c r="L132" s="39"/>
      <x:c r="M132" s="39"/>
      <x:c r="N132" s="30"/>
      <x:c r="O132" s="38" t="str">
        <x:f>IF(A132="","",I132-N132)</x:f>
      </x:c>
      <x:c r="P132" s="25"/>
      <x:c r="Q132" s="25"/>
    </x:row>
    <x:row r="133">
      <x:c r="A133" s="25"/>
      <x:c r="B133" s="25"/>
      <x:c r="C133" s="25"/>
      <x:c r="D133" s="25"/>
      <x:c r="E133" s="25"/>
      <x:c r="F133" s="25"/>
      <x:c r="G133" s="39"/>
      <x:c r="H133" s="39"/>
      <x:c r="I133" s="30"/>
      <x:c r="J133" s="30"/>
      <x:c r="K133" s="39"/>
      <x:c r="L133" s="39"/>
      <x:c r="M133" s="39"/>
      <x:c r="N133" s="30"/>
      <x:c r="O133" s="38" t="str">
        <x:f>IF(A133="","",I133-N133)</x:f>
      </x:c>
      <x:c r="P133" s="25"/>
      <x:c r="Q133" s="25"/>
    </x:row>
    <x:row r="134">
      <x:c r="A134" s="25"/>
      <x:c r="B134" s="25"/>
      <x:c r="C134" s="25"/>
      <x:c r="D134" s="25"/>
      <x:c r="E134" s="25"/>
      <x:c r="F134" s="25"/>
      <x:c r="G134" s="39"/>
      <x:c r="H134" s="39"/>
      <x:c r="I134" s="30"/>
      <x:c r="J134" s="30"/>
      <x:c r="K134" s="39"/>
      <x:c r="L134" s="39"/>
      <x:c r="M134" s="39"/>
      <x:c r="N134" s="30"/>
      <x:c r="O134" s="38" t="str">
        <x:f>IF(A134="","",I134-N134)</x:f>
      </x:c>
      <x:c r="P134" s="25"/>
      <x:c r="Q134" s="25"/>
    </x:row>
    <x:row r="135">
      <x:c r="A135" s="25"/>
      <x:c r="B135" s="25"/>
      <x:c r="C135" s="25"/>
      <x:c r="D135" s="25"/>
      <x:c r="E135" s="25"/>
      <x:c r="F135" s="25"/>
      <x:c r="G135" s="39"/>
      <x:c r="H135" s="39"/>
      <x:c r="I135" s="30"/>
      <x:c r="J135" s="30"/>
      <x:c r="K135" s="39"/>
      <x:c r="L135" s="39"/>
      <x:c r="M135" s="39"/>
      <x:c r="N135" s="30"/>
      <x:c r="O135" s="38" t="str">
        <x:f>IF(A135="","",I135-N135)</x:f>
      </x:c>
      <x:c r="P135" s="25"/>
      <x:c r="Q135" s="25"/>
    </x:row>
    <x:row r="136">
      <x:c r="A136" s="25"/>
      <x:c r="B136" s="25"/>
      <x:c r="C136" s="25"/>
      <x:c r="D136" s="25"/>
      <x:c r="E136" s="25"/>
      <x:c r="F136" s="25"/>
      <x:c r="G136" s="39"/>
      <x:c r="H136" s="39"/>
      <x:c r="I136" s="30"/>
      <x:c r="J136" s="30"/>
      <x:c r="K136" s="39"/>
      <x:c r="L136" s="39"/>
      <x:c r="M136" s="39"/>
      <x:c r="N136" s="30"/>
      <x:c r="O136" s="38" t="str">
        <x:f>IF(A136="","",I136-N136)</x:f>
      </x:c>
      <x:c r="P136" s="25"/>
      <x:c r="Q136" s="25"/>
    </x:row>
    <x:row r="137">
      <x:c r="A137" s="25"/>
      <x:c r="B137" s="25"/>
      <x:c r="C137" s="25"/>
      <x:c r="D137" s="25"/>
      <x:c r="E137" s="25"/>
      <x:c r="F137" s="25"/>
      <x:c r="G137" s="39"/>
      <x:c r="H137" s="39"/>
      <x:c r="I137" s="30"/>
      <x:c r="J137" s="30"/>
      <x:c r="K137" s="39"/>
      <x:c r="L137" s="39"/>
      <x:c r="M137" s="39"/>
      <x:c r="N137" s="30"/>
      <x:c r="O137" s="38" t="str">
        <x:f>IF(A137="","",I137-N137)</x:f>
      </x:c>
      <x:c r="P137" s="25"/>
      <x:c r="Q137" s="25"/>
    </x:row>
    <x:row r="138">
      <x:c r="A138" s="25"/>
      <x:c r="B138" s="25"/>
      <x:c r="C138" s="25"/>
      <x:c r="D138" s="25"/>
      <x:c r="E138" s="25"/>
      <x:c r="F138" s="25"/>
      <x:c r="G138" s="39"/>
      <x:c r="H138" s="39"/>
      <x:c r="I138" s="30"/>
      <x:c r="J138" s="30"/>
      <x:c r="K138" s="39"/>
      <x:c r="L138" s="39"/>
      <x:c r="M138" s="39"/>
      <x:c r="N138" s="30"/>
      <x:c r="O138" s="38" t="str">
        <x:f>IF(A138="","",I138-N138)</x:f>
      </x:c>
      <x:c r="P138" s="25"/>
      <x:c r="Q138" s="25"/>
    </x:row>
    <x:row r="139">
      <x:c r="A139" s="25"/>
      <x:c r="B139" s="25"/>
      <x:c r="C139" s="25"/>
      <x:c r="D139" s="25"/>
      <x:c r="E139" s="25"/>
      <x:c r="F139" s="25"/>
      <x:c r="G139" s="39"/>
      <x:c r="H139" s="39"/>
      <x:c r="I139" s="30"/>
      <x:c r="J139" s="30"/>
      <x:c r="K139" s="39"/>
      <x:c r="L139" s="39"/>
      <x:c r="M139" s="39"/>
      <x:c r="N139" s="30"/>
      <x:c r="O139" s="38" t="str">
        <x:f>IF(A139="","",I139-N139)</x:f>
      </x:c>
      <x:c r="P139" s="25"/>
      <x:c r="Q139" s="25"/>
    </x:row>
    <x:row r="140">
      <x:c r="A140" s="25"/>
      <x:c r="B140" s="25"/>
      <x:c r="C140" s="25"/>
      <x:c r="D140" s="25"/>
      <x:c r="E140" s="25"/>
      <x:c r="F140" s="25"/>
      <x:c r="G140" s="39"/>
      <x:c r="H140" s="39"/>
      <x:c r="I140" s="30"/>
      <x:c r="J140" s="30"/>
      <x:c r="K140" s="39"/>
      <x:c r="L140" s="39"/>
      <x:c r="M140" s="39"/>
      <x:c r="N140" s="30"/>
      <x:c r="O140" s="38" t="str">
        <x:f>IF(A140="","",I140-N140)</x:f>
      </x:c>
      <x:c r="P140" s="25"/>
      <x:c r="Q140" s="25"/>
    </x:row>
    <x:row r="141">
      <x:c r="A141" s="25"/>
      <x:c r="B141" s="25"/>
      <x:c r="C141" s="25"/>
      <x:c r="D141" s="25"/>
      <x:c r="E141" s="25"/>
      <x:c r="F141" s="25"/>
      <x:c r="G141" s="39"/>
      <x:c r="H141" s="39"/>
      <x:c r="I141" s="30"/>
      <x:c r="J141" s="30"/>
      <x:c r="K141" s="39"/>
      <x:c r="L141" s="39"/>
      <x:c r="M141" s="39"/>
      <x:c r="N141" s="30"/>
      <x:c r="O141" s="38" t="str">
        <x:f>IF(A141="","",I141-N141)</x:f>
      </x:c>
      <x:c r="P141" s="25"/>
      <x:c r="Q141" s="25"/>
    </x:row>
    <x:row r="142">
      <x:c r="A142" s="25"/>
      <x:c r="B142" s="25"/>
      <x:c r="C142" s="25"/>
      <x:c r="D142" s="25"/>
      <x:c r="E142" s="25"/>
      <x:c r="F142" s="25"/>
      <x:c r="G142" s="39"/>
      <x:c r="H142" s="39"/>
      <x:c r="I142" s="30"/>
      <x:c r="J142" s="30"/>
      <x:c r="K142" s="39"/>
      <x:c r="L142" s="39"/>
      <x:c r="M142" s="39"/>
      <x:c r="N142" s="30"/>
      <x:c r="O142" s="38" t="str">
        <x:f>IF(A142="","",I142-N142)</x:f>
      </x:c>
      <x:c r="P142" s="25"/>
      <x:c r="Q142" s="25"/>
    </x:row>
    <x:row r="143">
      <x:c r="A143" s="25"/>
      <x:c r="B143" s="25"/>
      <x:c r="C143" s="25"/>
      <x:c r="D143" s="25"/>
      <x:c r="E143" s="25"/>
      <x:c r="F143" s="25"/>
      <x:c r="G143" s="39"/>
      <x:c r="H143" s="39"/>
      <x:c r="I143" s="30"/>
      <x:c r="J143" s="30"/>
      <x:c r="K143" s="39"/>
      <x:c r="L143" s="39"/>
      <x:c r="M143" s="39"/>
      <x:c r="N143" s="30"/>
      <x:c r="O143" s="38" t="str">
        <x:f>IF(A143="","",I143-N143)</x:f>
      </x:c>
      <x:c r="P143" s="25"/>
      <x:c r="Q143" s="25"/>
    </x:row>
    <x:row r="144">
      <x:c r="A144" s="25"/>
      <x:c r="B144" s="25"/>
      <x:c r="C144" s="25"/>
      <x:c r="D144" s="25"/>
      <x:c r="E144" s="25"/>
      <x:c r="F144" s="25"/>
      <x:c r="G144" s="39"/>
      <x:c r="H144" s="39"/>
      <x:c r="I144" s="30"/>
      <x:c r="J144" s="30"/>
      <x:c r="K144" s="39"/>
      <x:c r="L144" s="39"/>
      <x:c r="M144" s="39"/>
      <x:c r="N144" s="30"/>
      <x:c r="O144" s="38" t="str">
        <x:f>IF(A144="","",I144-N144)</x:f>
      </x:c>
      <x:c r="P144" s="25"/>
      <x:c r="Q144" s="25"/>
    </x:row>
    <x:row r="145">
      <x:c r="A145" s="25"/>
      <x:c r="B145" s="25"/>
      <x:c r="C145" s="25"/>
      <x:c r="D145" s="25"/>
      <x:c r="E145" s="25"/>
      <x:c r="F145" s="25"/>
      <x:c r="G145" s="39"/>
      <x:c r="H145" s="39"/>
      <x:c r="I145" s="30"/>
      <x:c r="J145" s="30"/>
      <x:c r="K145" s="39"/>
      <x:c r="L145" s="39"/>
      <x:c r="M145" s="39"/>
      <x:c r="N145" s="30"/>
      <x:c r="O145" s="38" t="str">
        <x:f>IF(A145="","",I145-N145)</x:f>
      </x:c>
      <x:c r="P145" s="25"/>
      <x:c r="Q145" s="25"/>
    </x:row>
    <x:row r="146">
      <x:c r="A146" s="25"/>
      <x:c r="B146" s="25"/>
      <x:c r="C146" s="25"/>
      <x:c r="D146" s="25"/>
      <x:c r="E146" s="25"/>
      <x:c r="F146" s="25"/>
      <x:c r="G146" s="39"/>
      <x:c r="H146" s="39"/>
      <x:c r="I146" s="30"/>
      <x:c r="J146" s="30"/>
      <x:c r="K146" s="39"/>
      <x:c r="L146" s="39"/>
      <x:c r="M146" s="39"/>
      <x:c r="N146" s="30"/>
      <x:c r="O146" s="38" t="str">
        <x:f>IF(A146="","",I146-N146)</x:f>
      </x:c>
      <x:c r="P146" s="25"/>
      <x:c r="Q146" s="25"/>
    </x:row>
    <x:row r="147">
      <x:c r="A147" s="25"/>
      <x:c r="B147" s="25"/>
      <x:c r="C147" s="25"/>
      <x:c r="D147" s="25"/>
      <x:c r="E147" s="25"/>
      <x:c r="F147" s="25"/>
      <x:c r="G147" s="39"/>
      <x:c r="H147" s="39"/>
      <x:c r="I147" s="30"/>
      <x:c r="J147" s="30"/>
      <x:c r="K147" s="39"/>
      <x:c r="L147" s="39"/>
      <x:c r="M147" s="39"/>
      <x:c r="N147" s="30"/>
      <x:c r="O147" s="38" t="str">
        <x:f>IF(A147="","",I147-N147)</x:f>
      </x:c>
      <x:c r="P147" s="25"/>
      <x:c r="Q147" s="25"/>
    </x:row>
    <x:row r="148">
      <x:c r="A148" s="25"/>
      <x:c r="B148" s="25"/>
      <x:c r="C148" s="25"/>
      <x:c r="D148" s="25"/>
      <x:c r="E148" s="25"/>
      <x:c r="F148" s="25"/>
      <x:c r="G148" s="39"/>
      <x:c r="H148" s="39"/>
      <x:c r="I148" s="30"/>
      <x:c r="J148" s="30"/>
      <x:c r="K148" s="39"/>
      <x:c r="L148" s="39"/>
      <x:c r="M148" s="39"/>
      <x:c r="N148" s="30"/>
      <x:c r="O148" s="38" t="str">
        <x:f>IF(A148="","",I148-N148)</x:f>
      </x:c>
      <x:c r="P148" s="25"/>
      <x:c r="Q148" s="25"/>
    </x:row>
    <x:row r="149">
      <x:c r="A149" s="25"/>
      <x:c r="B149" s="25"/>
      <x:c r="C149" s="25"/>
      <x:c r="D149" s="25"/>
      <x:c r="E149" s="25"/>
      <x:c r="F149" s="25"/>
      <x:c r="G149" s="39"/>
      <x:c r="H149" s="39"/>
      <x:c r="I149" s="30"/>
      <x:c r="J149" s="30"/>
      <x:c r="K149" s="39"/>
      <x:c r="L149" s="39"/>
      <x:c r="M149" s="39"/>
      <x:c r="N149" s="30"/>
      <x:c r="O149" s="38" t="str">
        <x:f>IF(A149="","",I149-N149)</x:f>
      </x:c>
      <x:c r="P149" s="25"/>
      <x:c r="Q149" s="25"/>
    </x:row>
    <x:row r="150">
      <x:c r="A150" s="25"/>
      <x:c r="B150" s="25"/>
      <x:c r="C150" s="25"/>
      <x:c r="D150" s="25"/>
      <x:c r="E150" s="25"/>
      <x:c r="F150" s="25"/>
      <x:c r="G150" s="39"/>
      <x:c r="H150" s="39"/>
      <x:c r="I150" s="30"/>
      <x:c r="J150" s="30"/>
      <x:c r="K150" s="39"/>
      <x:c r="L150" s="39"/>
      <x:c r="M150" s="39"/>
      <x:c r="N150" s="30"/>
      <x:c r="O150" s="38" t="str">
        <x:f>IF(A150="","",I150-N150)</x:f>
      </x:c>
      <x:c r="P150" s="25"/>
      <x:c r="Q150" s="25"/>
    </x:row>
    <x:row r="151">
      <x:c r="A151" s="25"/>
      <x:c r="B151" s="25"/>
      <x:c r="C151" s="25"/>
      <x:c r="D151" s="25"/>
      <x:c r="E151" s="25"/>
      <x:c r="F151" s="25"/>
      <x:c r="G151" s="39"/>
      <x:c r="H151" s="39"/>
      <x:c r="I151" s="30"/>
      <x:c r="J151" s="30"/>
      <x:c r="K151" s="39"/>
      <x:c r="L151" s="39"/>
      <x:c r="M151" s="39"/>
      <x:c r="N151" s="30"/>
      <x:c r="O151" s="38" t="str">
        <x:f>IF(A151="","",I151-N151)</x:f>
      </x:c>
      <x:c r="P151" s="25"/>
      <x:c r="Q151" s="25"/>
    </x:row>
    <x:row r="152">
      <x:c r="A152" s="25"/>
      <x:c r="B152" s="25"/>
      <x:c r="C152" s="25"/>
      <x:c r="D152" s="25"/>
      <x:c r="E152" s="25"/>
      <x:c r="F152" s="25"/>
      <x:c r="G152" s="39"/>
      <x:c r="H152" s="39"/>
      <x:c r="I152" s="30"/>
      <x:c r="J152" s="30"/>
      <x:c r="K152" s="39"/>
      <x:c r="L152" s="39"/>
      <x:c r="M152" s="39"/>
      <x:c r="N152" s="30"/>
      <x:c r="O152" s="38" t="str">
        <x:f>IF(A152="","",I152-N152)</x:f>
      </x:c>
      <x:c r="P152" s="25"/>
      <x:c r="Q152" s="25"/>
    </x:row>
    <x:row r="153">
      <x:c r="A153" s="25"/>
      <x:c r="B153" s="25"/>
      <x:c r="C153" s="25"/>
      <x:c r="D153" s="25"/>
      <x:c r="E153" s="25"/>
      <x:c r="F153" s="25"/>
      <x:c r="G153" s="39"/>
      <x:c r="H153" s="39"/>
      <x:c r="I153" s="30"/>
      <x:c r="J153" s="30"/>
      <x:c r="K153" s="39"/>
      <x:c r="L153" s="39"/>
      <x:c r="M153" s="39"/>
      <x:c r="N153" s="30"/>
      <x:c r="O153" s="38" t="str">
        <x:f>IF(A153="","",I153-N153)</x:f>
      </x:c>
      <x:c r="P153" s="25"/>
      <x:c r="Q153" s="25"/>
    </x:row>
    <x:row r="154">
      <x:c r="A154" s="25"/>
      <x:c r="B154" s="25"/>
      <x:c r="C154" s="25"/>
      <x:c r="D154" s="25"/>
      <x:c r="E154" s="25"/>
      <x:c r="F154" s="25"/>
      <x:c r="G154" s="39"/>
      <x:c r="H154" s="39"/>
      <x:c r="I154" s="30"/>
      <x:c r="J154" s="30"/>
      <x:c r="K154" s="39"/>
      <x:c r="L154" s="39"/>
      <x:c r="M154" s="39"/>
      <x:c r="N154" s="30"/>
      <x:c r="O154" s="38" t="str">
        <x:f>IF(A154="","",I154-N154)</x:f>
      </x:c>
      <x:c r="P154" s="25"/>
      <x:c r="Q154" s="25"/>
    </x:row>
    <x:row r="155">
      <x:c r="A155" s="25"/>
      <x:c r="B155" s="25"/>
      <x:c r="C155" s="25"/>
      <x:c r="D155" s="25"/>
      <x:c r="E155" s="25"/>
      <x:c r="F155" s="25"/>
      <x:c r="G155" s="39"/>
      <x:c r="H155" s="39"/>
      <x:c r="I155" s="30"/>
      <x:c r="J155" s="30"/>
      <x:c r="K155" s="39"/>
      <x:c r="L155" s="39"/>
      <x:c r="M155" s="39"/>
      <x:c r="N155" s="30"/>
      <x:c r="O155" s="38" t="str">
        <x:f>IF(A155="","",I155-N155)</x:f>
      </x:c>
      <x:c r="P155" s="25"/>
      <x:c r="Q155" s="25"/>
    </x:row>
    <x:row r="156">
      <x:c r="A156" s="25"/>
      <x:c r="B156" s="25"/>
      <x:c r="C156" s="25"/>
      <x:c r="D156" s="25"/>
      <x:c r="E156" s="25"/>
      <x:c r="F156" s="25"/>
      <x:c r="G156" s="39"/>
      <x:c r="H156" s="39"/>
      <x:c r="I156" s="30"/>
      <x:c r="J156" s="30"/>
      <x:c r="K156" s="39"/>
      <x:c r="L156" s="39"/>
      <x:c r="M156" s="39"/>
      <x:c r="N156" s="30"/>
      <x:c r="O156" s="38" t="str">
        <x:f>IF(A156="","",I156-N156)</x:f>
      </x:c>
      <x:c r="P156" s="25"/>
      <x:c r="Q156" s="25"/>
    </x:row>
    <x:row r="157">
      <x:c r="A157" s="25"/>
      <x:c r="B157" s="25"/>
      <x:c r="C157" s="25"/>
      <x:c r="D157" s="25"/>
      <x:c r="E157" s="25"/>
      <x:c r="F157" s="25"/>
      <x:c r="G157" s="39"/>
      <x:c r="H157" s="39"/>
      <x:c r="I157" s="30"/>
      <x:c r="J157" s="30"/>
      <x:c r="K157" s="39"/>
      <x:c r="L157" s="39"/>
      <x:c r="M157" s="39"/>
      <x:c r="N157" s="30"/>
      <x:c r="O157" s="38" t="str">
        <x:f>IF(A157="","",I157-N157)</x:f>
      </x:c>
      <x:c r="P157" s="25"/>
      <x:c r="Q157" s="25"/>
    </x:row>
    <x:row r="158">
      <x:c r="A158" s="25"/>
      <x:c r="B158" s="25"/>
      <x:c r="C158" s="25"/>
      <x:c r="D158" s="25"/>
      <x:c r="E158" s="25"/>
      <x:c r="F158" s="25"/>
      <x:c r="G158" s="39"/>
      <x:c r="H158" s="39"/>
      <x:c r="I158" s="30"/>
      <x:c r="J158" s="30"/>
      <x:c r="K158" s="39"/>
      <x:c r="L158" s="39"/>
      <x:c r="M158" s="39"/>
      <x:c r="N158" s="30"/>
      <x:c r="O158" s="38" t="str">
        <x:f>IF(A158="","",I158-N158)</x:f>
      </x:c>
      <x:c r="P158" s="25"/>
      <x:c r="Q158" s="25"/>
    </x:row>
    <x:row r="159">
      <x:c r="A159" s="25"/>
      <x:c r="B159" s="25"/>
      <x:c r="C159" s="25"/>
      <x:c r="D159" s="25"/>
      <x:c r="E159" s="25"/>
      <x:c r="F159" s="25"/>
      <x:c r="G159" s="39"/>
      <x:c r="H159" s="39"/>
      <x:c r="I159" s="30"/>
      <x:c r="J159" s="30"/>
      <x:c r="K159" s="39"/>
      <x:c r="L159" s="39"/>
      <x:c r="M159" s="39"/>
      <x:c r="N159" s="30"/>
      <x:c r="O159" s="38" t="str">
        <x:f>IF(A159="","",I159-N159)</x:f>
      </x:c>
      <x:c r="P159" s="25"/>
      <x:c r="Q159" s="25"/>
    </x:row>
    <x:row r="160">
      <x:c r="A160" s="25"/>
      <x:c r="B160" s="25"/>
      <x:c r="C160" s="25"/>
      <x:c r="D160" s="25"/>
      <x:c r="E160" s="25"/>
      <x:c r="F160" s="25"/>
      <x:c r="G160" s="39"/>
      <x:c r="H160" s="39"/>
      <x:c r="I160" s="30"/>
      <x:c r="J160" s="30"/>
      <x:c r="K160" s="39"/>
      <x:c r="L160" s="39"/>
      <x:c r="M160" s="39"/>
      <x:c r="N160" s="30"/>
      <x:c r="O160" s="38" t="str">
        <x:f>IF(A160="","",I160-N160)</x:f>
      </x:c>
      <x:c r="P160" s="25"/>
      <x:c r="Q160" s="25"/>
    </x:row>
    <x:row r="161">
      <x:c r="A161" s="25"/>
      <x:c r="B161" s="25"/>
      <x:c r="C161" s="25"/>
      <x:c r="D161" s="25"/>
      <x:c r="E161" s="25"/>
      <x:c r="F161" s="25"/>
      <x:c r="G161" s="39"/>
      <x:c r="H161" s="39"/>
      <x:c r="I161" s="30"/>
      <x:c r="J161" s="30"/>
      <x:c r="K161" s="39"/>
      <x:c r="L161" s="39"/>
      <x:c r="M161" s="39"/>
      <x:c r="N161" s="30"/>
      <x:c r="O161" s="38" t="str">
        <x:f>IF(A161="","",I161-N161)</x:f>
      </x:c>
      <x:c r="P161" s="25"/>
      <x:c r="Q161" s="25"/>
    </x:row>
    <x:row r="162">
      <x:c r="A162" s="25"/>
      <x:c r="B162" s="25"/>
      <x:c r="C162" s="25"/>
      <x:c r="D162" s="25"/>
      <x:c r="E162" s="25"/>
      <x:c r="F162" s="25"/>
      <x:c r="G162" s="39"/>
      <x:c r="H162" s="39"/>
      <x:c r="I162" s="30"/>
      <x:c r="J162" s="30"/>
      <x:c r="K162" s="39"/>
      <x:c r="L162" s="39"/>
      <x:c r="M162" s="39"/>
      <x:c r="N162" s="30"/>
      <x:c r="O162" s="38" t="str">
        <x:f>IF(A162="","",I162-N162)</x:f>
      </x:c>
      <x:c r="P162" s="25"/>
      <x:c r="Q162" s="25"/>
    </x:row>
    <x:row r="163">
      <x:c r="A163" s="25"/>
      <x:c r="B163" s="25"/>
      <x:c r="C163" s="25"/>
      <x:c r="D163" s="25"/>
      <x:c r="E163" s="25"/>
      <x:c r="F163" s="25"/>
      <x:c r="G163" s="39"/>
      <x:c r="H163" s="39"/>
      <x:c r="I163" s="30"/>
      <x:c r="J163" s="30"/>
      <x:c r="K163" s="39"/>
      <x:c r="L163" s="39"/>
      <x:c r="M163" s="39"/>
      <x:c r="N163" s="30"/>
      <x:c r="O163" s="38" t="str">
        <x:f>IF(A163="","",I163-N163)</x:f>
      </x:c>
      <x:c r="P163" s="25"/>
      <x:c r="Q163" s="25"/>
    </x:row>
    <x:row r="164">
      <x:c r="A164" s="25"/>
      <x:c r="B164" s="25"/>
      <x:c r="C164" s="25"/>
      <x:c r="D164" s="25"/>
      <x:c r="E164" s="25"/>
      <x:c r="F164" s="25"/>
      <x:c r="G164" s="39"/>
      <x:c r="H164" s="39"/>
      <x:c r="I164" s="30"/>
      <x:c r="J164" s="30"/>
      <x:c r="K164" s="39"/>
      <x:c r="L164" s="39"/>
      <x:c r="M164" s="39"/>
      <x:c r="N164" s="30"/>
      <x:c r="O164" s="38" t="str">
        <x:f>IF(A164="","",I164-N164)</x:f>
      </x:c>
      <x:c r="P164" s="25"/>
      <x:c r="Q164" s="25"/>
    </x:row>
    <x:row r="165">
      <x:c r="A165" s="25"/>
      <x:c r="B165" s="25"/>
      <x:c r="C165" s="25"/>
      <x:c r="D165" s="25"/>
      <x:c r="E165" s="25"/>
      <x:c r="F165" s="25"/>
      <x:c r="G165" s="39"/>
      <x:c r="H165" s="39"/>
      <x:c r="I165" s="30"/>
      <x:c r="J165" s="30"/>
      <x:c r="K165" s="39"/>
      <x:c r="L165" s="39"/>
      <x:c r="M165" s="39"/>
      <x:c r="N165" s="30"/>
      <x:c r="O165" s="38" t="str">
        <x:f>IF(A165="","",I165-N165)</x:f>
      </x:c>
      <x:c r="P165" s="25"/>
      <x:c r="Q165" s="25"/>
    </x:row>
    <x:row r="166">
      <x:c r="A166" s="25"/>
      <x:c r="B166" s="25"/>
      <x:c r="C166" s="25"/>
      <x:c r="D166" s="25"/>
      <x:c r="E166" s="25"/>
      <x:c r="F166" s="25"/>
      <x:c r="G166" s="39"/>
      <x:c r="H166" s="39"/>
      <x:c r="I166" s="30"/>
      <x:c r="J166" s="30"/>
      <x:c r="K166" s="39"/>
      <x:c r="L166" s="39"/>
      <x:c r="M166" s="39"/>
      <x:c r="N166" s="30"/>
      <x:c r="O166" s="38" t="str">
        <x:f>IF(A166="","",I166-N166)</x:f>
      </x:c>
      <x:c r="P166" s="25"/>
      <x:c r="Q166" s="25"/>
    </x:row>
    <x:row r="167">
      <x:c r="A167" s="25"/>
      <x:c r="B167" s="25"/>
      <x:c r="C167" s="25"/>
      <x:c r="D167" s="25"/>
      <x:c r="E167" s="25"/>
      <x:c r="F167" s="25"/>
      <x:c r="G167" s="39"/>
      <x:c r="H167" s="39"/>
      <x:c r="I167" s="30"/>
      <x:c r="J167" s="30"/>
      <x:c r="K167" s="39"/>
      <x:c r="L167" s="39"/>
      <x:c r="M167" s="39"/>
      <x:c r="N167" s="30"/>
      <x:c r="O167" s="38" t="str">
        <x:f>IF(A167="","",I167-N167)</x:f>
      </x:c>
      <x:c r="P167" s="25"/>
      <x:c r="Q167" s="25"/>
    </x:row>
    <x:row r="168">
      <x:c r="A168" s="25"/>
      <x:c r="B168" s="25"/>
      <x:c r="C168" s="25"/>
      <x:c r="D168" s="25"/>
      <x:c r="E168" s="25"/>
      <x:c r="F168" s="25"/>
      <x:c r="G168" s="39"/>
      <x:c r="H168" s="39"/>
      <x:c r="I168" s="30"/>
      <x:c r="J168" s="30"/>
      <x:c r="K168" s="39"/>
      <x:c r="L168" s="39"/>
      <x:c r="M168" s="39"/>
      <x:c r="N168" s="30"/>
      <x:c r="O168" s="38" t="str">
        <x:f>IF(A168="","",I168-N168)</x:f>
      </x:c>
      <x:c r="P168" s="25"/>
      <x:c r="Q168" s="25"/>
    </x:row>
    <x:row r="169">
      <x:c r="A169" s="25"/>
      <x:c r="B169" s="25"/>
      <x:c r="C169" s="25"/>
      <x:c r="D169" s="25"/>
      <x:c r="E169" s="25"/>
      <x:c r="F169" s="25"/>
      <x:c r="G169" s="39"/>
      <x:c r="H169" s="39"/>
      <x:c r="I169" s="30"/>
      <x:c r="J169" s="30"/>
      <x:c r="K169" s="39"/>
      <x:c r="L169" s="39"/>
      <x:c r="M169" s="39"/>
      <x:c r="N169" s="30"/>
      <x:c r="O169" s="38" t="str">
        <x:f>IF(A169="","",I169-N169)</x:f>
      </x:c>
      <x:c r="P169" s="25"/>
      <x:c r="Q169" s="25"/>
    </x:row>
    <x:row r="170">
      <x:c r="A170" s="25"/>
      <x:c r="B170" s="25"/>
      <x:c r="C170" s="25"/>
      <x:c r="D170" s="25"/>
      <x:c r="E170" s="25"/>
      <x:c r="F170" s="25"/>
      <x:c r="G170" s="39"/>
      <x:c r="H170" s="39"/>
      <x:c r="I170" s="30"/>
      <x:c r="J170" s="30"/>
      <x:c r="K170" s="39"/>
      <x:c r="L170" s="39"/>
      <x:c r="M170" s="39"/>
      <x:c r="N170" s="30"/>
      <x:c r="O170" s="38" t="str">
        <x:f>IF(A170="","",I170-N170)</x:f>
      </x:c>
      <x:c r="P170" s="25"/>
      <x:c r="Q170" s="25"/>
    </x:row>
    <x:row r="171">
      <x:c r="A171" s="25"/>
      <x:c r="B171" s="25"/>
      <x:c r="C171" s="25"/>
      <x:c r="D171" s="25"/>
      <x:c r="E171" s="25"/>
      <x:c r="F171" s="25"/>
      <x:c r="G171" s="39"/>
      <x:c r="H171" s="39"/>
      <x:c r="I171" s="30"/>
      <x:c r="J171" s="30"/>
      <x:c r="K171" s="39"/>
      <x:c r="L171" s="39"/>
      <x:c r="M171" s="39"/>
      <x:c r="N171" s="30"/>
      <x:c r="O171" s="38" t="str">
        <x:f>IF(A171="","",I171-N171)</x:f>
      </x:c>
      <x:c r="P171" s="25"/>
      <x:c r="Q171" s="25"/>
    </x:row>
    <x:row r="172">
      <x:c r="A172" s="25"/>
      <x:c r="B172" s="25"/>
      <x:c r="C172" s="25"/>
      <x:c r="D172" s="25"/>
      <x:c r="E172" s="25"/>
      <x:c r="F172" s="25"/>
      <x:c r="G172" s="39"/>
      <x:c r="H172" s="39"/>
      <x:c r="I172" s="30"/>
      <x:c r="J172" s="30"/>
      <x:c r="K172" s="39"/>
      <x:c r="L172" s="39"/>
      <x:c r="M172" s="39"/>
      <x:c r="N172" s="30"/>
      <x:c r="O172" s="38" t="str">
        <x:f>IF(A172="","",I172-N172)</x:f>
      </x:c>
      <x:c r="P172" s="25"/>
      <x:c r="Q172" s="25"/>
    </x:row>
    <x:row r="173">
      <x:c r="A173" s="25"/>
      <x:c r="B173" s="25"/>
      <x:c r="C173" s="25"/>
      <x:c r="D173" s="25"/>
      <x:c r="E173" s="25"/>
      <x:c r="F173" s="25"/>
      <x:c r="G173" s="39"/>
      <x:c r="H173" s="39"/>
      <x:c r="I173" s="30"/>
      <x:c r="J173" s="30"/>
      <x:c r="K173" s="39"/>
      <x:c r="L173" s="39"/>
      <x:c r="M173" s="39"/>
      <x:c r="N173" s="30"/>
      <x:c r="O173" s="38" t="str">
        <x:f>IF(A173="","",I173-N173)</x:f>
      </x:c>
      <x:c r="P173" s="25"/>
      <x:c r="Q173" s="25"/>
    </x:row>
    <x:row r="174">
      <x:c r="A174" s="25"/>
      <x:c r="B174" s="25"/>
      <x:c r="C174" s="25"/>
      <x:c r="D174" s="25"/>
      <x:c r="E174" s="25"/>
      <x:c r="F174" s="25"/>
      <x:c r="G174" s="39"/>
      <x:c r="H174" s="39"/>
      <x:c r="I174" s="30"/>
      <x:c r="J174" s="30"/>
      <x:c r="K174" s="39"/>
      <x:c r="L174" s="39"/>
      <x:c r="M174" s="39"/>
      <x:c r="N174" s="30"/>
      <x:c r="O174" s="38" t="str">
        <x:f>IF(A174="","",I174-N174)</x:f>
      </x:c>
      <x:c r="P174" s="25"/>
      <x:c r="Q174" s="25"/>
    </x:row>
    <x:row r="175">
      <x:c r="A175" s="25"/>
      <x:c r="B175" s="25"/>
      <x:c r="C175" s="25"/>
      <x:c r="D175" s="25"/>
      <x:c r="E175" s="25"/>
      <x:c r="F175" s="25"/>
      <x:c r="G175" s="39"/>
      <x:c r="H175" s="39"/>
      <x:c r="I175" s="30"/>
      <x:c r="J175" s="30"/>
      <x:c r="K175" s="39"/>
      <x:c r="L175" s="39"/>
      <x:c r="M175" s="39"/>
      <x:c r="N175" s="30"/>
      <x:c r="O175" s="38" t="str">
        <x:f>IF(A175="","",I175-N175)</x:f>
      </x:c>
      <x:c r="P175" s="25"/>
      <x:c r="Q175" s="25"/>
    </x:row>
    <x:row r="176">
      <x:c r="A176" s="25"/>
      <x:c r="B176" s="25"/>
      <x:c r="C176" s="25"/>
      <x:c r="D176" s="25"/>
      <x:c r="E176" s="25"/>
      <x:c r="F176" s="25"/>
      <x:c r="G176" s="39"/>
      <x:c r="H176" s="39"/>
      <x:c r="I176" s="30"/>
      <x:c r="J176" s="30"/>
      <x:c r="K176" s="39"/>
      <x:c r="L176" s="39"/>
      <x:c r="M176" s="39"/>
      <x:c r="N176" s="30"/>
      <x:c r="O176" s="38" t="str">
        <x:f>IF(A176="","",I176-N176)</x:f>
      </x:c>
      <x:c r="P176" s="25"/>
      <x:c r="Q176" s="25"/>
    </x:row>
    <x:row r="177">
      <x:c r="A177" s="25"/>
      <x:c r="B177" s="25"/>
      <x:c r="C177" s="25"/>
      <x:c r="D177" s="25"/>
      <x:c r="E177" s="25"/>
      <x:c r="F177" s="25"/>
      <x:c r="G177" s="39"/>
      <x:c r="H177" s="39"/>
      <x:c r="I177" s="30"/>
      <x:c r="J177" s="30"/>
      <x:c r="K177" s="39"/>
      <x:c r="L177" s="39"/>
      <x:c r="M177" s="39"/>
      <x:c r="N177" s="30"/>
      <x:c r="O177" s="38" t="str">
        <x:f>IF(A177="","",I177-N177)</x:f>
      </x:c>
      <x:c r="P177" s="25"/>
      <x:c r="Q177" s="25"/>
    </x:row>
    <x:row r="178">
      <x:c r="A178" s="25"/>
      <x:c r="B178" s="25"/>
      <x:c r="C178" s="25"/>
      <x:c r="D178" s="25"/>
      <x:c r="E178" s="25"/>
      <x:c r="F178" s="25"/>
      <x:c r="G178" s="39"/>
      <x:c r="H178" s="39"/>
      <x:c r="I178" s="30"/>
      <x:c r="J178" s="30"/>
      <x:c r="K178" s="39"/>
      <x:c r="L178" s="39"/>
      <x:c r="M178" s="39"/>
      <x:c r="N178" s="30"/>
      <x:c r="O178" s="38" t="str">
        <x:f>IF(A178="","",I178-N178)</x:f>
      </x:c>
      <x:c r="P178" s="25"/>
      <x:c r="Q178" s="25"/>
    </x:row>
    <x:row r="179">
      <x:c r="A179" s="25"/>
      <x:c r="B179" s="25"/>
      <x:c r="C179" s="25"/>
      <x:c r="D179" s="25"/>
      <x:c r="E179" s="25"/>
      <x:c r="F179" s="25"/>
      <x:c r="G179" s="39"/>
      <x:c r="H179" s="39"/>
      <x:c r="I179" s="30"/>
      <x:c r="J179" s="30"/>
      <x:c r="K179" s="39"/>
      <x:c r="L179" s="39"/>
      <x:c r="M179" s="39"/>
      <x:c r="N179" s="30"/>
      <x:c r="O179" s="38" t="str">
        <x:f>IF(A179="","",I179-N179)</x:f>
      </x:c>
      <x:c r="P179" s="25"/>
      <x:c r="Q179" s="25"/>
    </x:row>
    <x:row r="180">
      <x:c r="A180" s="25"/>
      <x:c r="B180" s="25"/>
      <x:c r="C180" s="25"/>
      <x:c r="D180" s="25"/>
      <x:c r="E180" s="25"/>
      <x:c r="F180" s="25"/>
      <x:c r="G180" s="39"/>
      <x:c r="H180" s="39"/>
      <x:c r="I180" s="30"/>
      <x:c r="J180" s="30"/>
      <x:c r="K180" s="39"/>
      <x:c r="L180" s="39"/>
      <x:c r="M180" s="39"/>
      <x:c r="N180" s="30"/>
      <x:c r="O180" s="38" t="str">
        <x:f>IF(A180="","",I180-N180)</x:f>
      </x:c>
      <x:c r="P180" s="25"/>
      <x:c r="Q180" s="25"/>
    </x:row>
    <x:row r="181">
      <x:c r="A181" s="25"/>
      <x:c r="B181" s="25"/>
      <x:c r="C181" s="25"/>
      <x:c r="D181" s="25"/>
      <x:c r="E181" s="25"/>
      <x:c r="F181" s="25"/>
      <x:c r="G181" s="39"/>
      <x:c r="H181" s="39"/>
      <x:c r="I181" s="30"/>
      <x:c r="J181" s="30"/>
      <x:c r="K181" s="39"/>
      <x:c r="L181" s="39"/>
      <x:c r="M181" s="39"/>
      <x:c r="N181" s="30"/>
      <x:c r="O181" s="38" t="str">
        <x:f>IF(A181="","",I181-N181)</x:f>
      </x:c>
      <x:c r="P181" s="25"/>
      <x:c r="Q181" s="25"/>
    </x:row>
    <x:row r="182">
      <x:c r="A182" s="25"/>
      <x:c r="B182" s="25"/>
      <x:c r="C182" s="25"/>
      <x:c r="D182" s="25"/>
      <x:c r="E182" s="25"/>
      <x:c r="F182" s="25"/>
      <x:c r="G182" s="39"/>
      <x:c r="H182" s="39"/>
      <x:c r="I182" s="30"/>
      <x:c r="J182" s="30"/>
      <x:c r="K182" s="39"/>
      <x:c r="L182" s="39"/>
      <x:c r="M182" s="39"/>
      <x:c r="N182" s="30"/>
      <x:c r="O182" s="38" t="str">
        <x:f>IF(A182="","",I182-N182)</x:f>
      </x:c>
      <x:c r="P182" s="25"/>
      <x:c r="Q182" s="25"/>
    </x:row>
    <x:row r="183">
      <x:c r="A183" s="25"/>
      <x:c r="B183" s="25"/>
      <x:c r="C183" s="25"/>
      <x:c r="D183" s="25"/>
      <x:c r="E183" s="25"/>
      <x:c r="F183" s="25"/>
      <x:c r="G183" s="39"/>
      <x:c r="H183" s="39"/>
      <x:c r="I183" s="30"/>
      <x:c r="J183" s="30"/>
      <x:c r="K183" s="39"/>
      <x:c r="L183" s="39"/>
      <x:c r="M183" s="39"/>
      <x:c r="N183" s="30"/>
      <x:c r="O183" s="38" t="str">
        <x:f>IF(A183="","",I183-N183)</x:f>
      </x:c>
      <x:c r="P183" s="25"/>
      <x:c r="Q183" s="25"/>
    </x:row>
    <x:row r="184">
      <x:c r="A184" s="25"/>
      <x:c r="B184" s="25"/>
      <x:c r="C184" s="25"/>
      <x:c r="D184" s="25"/>
      <x:c r="E184" s="25"/>
      <x:c r="F184" s="25"/>
      <x:c r="G184" s="39"/>
      <x:c r="H184" s="39"/>
      <x:c r="I184" s="30"/>
      <x:c r="J184" s="30"/>
      <x:c r="K184" s="39"/>
      <x:c r="L184" s="39"/>
      <x:c r="M184" s="39"/>
      <x:c r="N184" s="30"/>
      <x:c r="O184" s="38" t="str">
        <x:f>IF(A184="","",I184-N184)</x:f>
      </x:c>
      <x:c r="P184" s="25"/>
      <x:c r="Q184" s="25"/>
    </x:row>
    <x:row r="185">
      <x:c r="A185" s="25"/>
      <x:c r="B185" s="25"/>
      <x:c r="C185" s="25"/>
      <x:c r="D185" s="25"/>
      <x:c r="E185" s="25"/>
      <x:c r="F185" s="25"/>
      <x:c r="G185" s="39"/>
      <x:c r="H185" s="39"/>
      <x:c r="I185" s="30"/>
      <x:c r="J185" s="30"/>
      <x:c r="K185" s="39"/>
      <x:c r="L185" s="39"/>
      <x:c r="M185" s="39"/>
      <x:c r="N185" s="30"/>
      <x:c r="O185" s="38" t="str">
        <x:f>IF(A185="","",I185-N185)</x:f>
      </x:c>
      <x:c r="P185" s="25"/>
      <x:c r="Q185" s="25"/>
    </x:row>
    <x:row r="186">
      <x:c r="A186" s="25"/>
      <x:c r="B186" s="25"/>
      <x:c r="C186" s="25"/>
      <x:c r="D186" s="25"/>
      <x:c r="E186" s="25"/>
      <x:c r="F186" s="25"/>
      <x:c r="G186" s="39"/>
      <x:c r="H186" s="39"/>
      <x:c r="I186" s="30"/>
      <x:c r="J186" s="30"/>
      <x:c r="K186" s="39"/>
      <x:c r="L186" s="39"/>
      <x:c r="M186" s="39"/>
      <x:c r="N186" s="30"/>
      <x:c r="O186" s="38" t="str">
        <x:f>IF(A186="","",I186-N186)</x:f>
      </x:c>
      <x:c r="P186" s="25"/>
      <x:c r="Q186" s="25"/>
    </x:row>
    <x:row r="187">
      <x:c r="A187" s="25"/>
      <x:c r="B187" s="25"/>
      <x:c r="C187" s="25"/>
      <x:c r="D187" s="25"/>
      <x:c r="E187" s="25"/>
      <x:c r="F187" s="25"/>
      <x:c r="G187" s="39"/>
      <x:c r="H187" s="39"/>
      <x:c r="I187" s="30"/>
      <x:c r="J187" s="30"/>
      <x:c r="K187" s="39"/>
      <x:c r="L187" s="39"/>
      <x:c r="M187" s="39"/>
      <x:c r="N187" s="30"/>
      <x:c r="O187" s="38" t="str">
        <x:f>IF(A187="","",I187-N187)</x:f>
      </x:c>
      <x:c r="P187" s="25"/>
      <x:c r="Q187" s="25"/>
    </x:row>
    <x:row r="188">
      <x:c r="A188" s="25"/>
      <x:c r="B188" s="25"/>
      <x:c r="C188" s="25"/>
      <x:c r="D188" s="25"/>
      <x:c r="E188" s="25"/>
      <x:c r="F188" s="25"/>
      <x:c r="G188" s="39"/>
      <x:c r="H188" s="39"/>
      <x:c r="I188" s="30"/>
      <x:c r="J188" s="30"/>
      <x:c r="K188" s="39"/>
      <x:c r="L188" s="39"/>
      <x:c r="M188" s="39"/>
      <x:c r="N188" s="30"/>
      <x:c r="O188" s="38" t="str">
        <x:f>IF(A188="","",I188-N188)</x:f>
      </x:c>
      <x:c r="P188" s="25"/>
      <x:c r="Q188" s="25"/>
    </x:row>
    <x:row r="189">
      <x:c r="A189" s="25"/>
      <x:c r="B189" s="25"/>
      <x:c r="C189" s="25"/>
      <x:c r="D189" s="25"/>
      <x:c r="E189" s="25"/>
      <x:c r="F189" s="25"/>
      <x:c r="G189" s="39"/>
      <x:c r="H189" s="39"/>
      <x:c r="I189" s="30"/>
      <x:c r="J189" s="30"/>
      <x:c r="K189" s="39"/>
      <x:c r="L189" s="39"/>
      <x:c r="M189" s="39"/>
      <x:c r="N189" s="30"/>
      <x:c r="O189" s="38" t="str">
        <x:f>IF(A189="","",I189-N189)</x:f>
      </x:c>
      <x:c r="P189" s="25"/>
      <x:c r="Q189" s="25"/>
    </x:row>
    <x:row r="190">
      <x:c r="A190" s="25"/>
      <x:c r="B190" s="25"/>
      <x:c r="C190" s="25"/>
      <x:c r="D190" s="25"/>
      <x:c r="E190" s="25"/>
      <x:c r="F190" s="25"/>
      <x:c r="G190" s="39"/>
      <x:c r="H190" s="39"/>
      <x:c r="I190" s="30"/>
      <x:c r="J190" s="30"/>
      <x:c r="K190" s="39"/>
      <x:c r="L190" s="39"/>
      <x:c r="M190" s="39"/>
      <x:c r="N190" s="30"/>
      <x:c r="O190" s="38" t="str">
        <x:f>IF(A190="","",I190-N190)</x:f>
      </x:c>
      <x:c r="P190" s="25"/>
      <x:c r="Q190" s="25"/>
    </x:row>
    <x:row r="191">
      <x:c r="A191" s="25"/>
      <x:c r="B191" s="25"/>
      <x:c r="C191" s="25"/>
      <x:c r="D191" s="25"/>
      <x:c r="E191" s="25"/>
      <x:c r="F191" s="25"/>
      <x:c r="G191" s="39"/>
      <x:c r="H191" s="39"/>
      <x:c r="I191" s="30"/>
      <x:c r="J191" s="30"/>
      <x:c r="K191" s="39"/>
      <x:c r="L191" s="39"/>
      <x:c r="M191" s="39"/>
      <x:c r="N191" s="30"/>
      <x:c r="O191" s="38" t="str">
        <x:f>IF(A191="","",I191-N191)</x:f>
      </x:c>
      <x:c r="P191" s="25"/>
      <x:c r="Q191" s="25"/>
    </x:row>
    <x:row r="192">
      <x:c r="A192" s="25"/>
      <x:c r="B192" s="25"/>
      <x:c r="C192" s="25"/>
      <x:c r="D192" s="25"/>
      <x:c r="E192" s="25"/>
      <x:c r="F192" s="25"/>
      <x:c r="G192" s="39"/>
      <x:c r="H192" s="39"/>
      <x:c r="I192" s="30"/>
      <x:c r="J192" s="30"/>
      <x:c r="K192" s="39"/>
      <x:c r="L192" s="39"/>
      <x:c r="M192" s="39"/>
      <x:c r="N192" s="30"/>
      <x:c r="O192" s="38" t="str">
        <x:f>IF(A192="","",I192-N192)</x:f>
      </x:c>
      <x:c r="P192" s="25"/>
      <x:c r="Q192" s="25"/>
    </x:row>
    <x:row r="193">
      <x:c r="A193" s="25"/>
      <x:c r="B193" s="25"/>
      <x:c r="C193" s="25"/>
      <x:c r="D193" s="25"/>
      <x:c r="E193" s="25"/>
      <x:c r="F193" s="25"/>
      <x:c r="G193" s="39"/>
      <x:c r="H193" s="39"/>
      <x:c r="I193" s="30"/>
      <x:c r="J193" s="30"/>
      <x:c r="K193" s="39"/>
      <x:c r="L193" s="39"/>
      <x:c r="M193" s="39"/>
      <x:c r="N193" s="30"/>
      <x:c r="O193" s="38" t="str">
        <x:f>IF(A193="","",I193-N193)</x:f>
      </x:c>
      <x:c r="P193" s="25"/>
      <x:c r="Q193" s="25"/>
    </x:row>
    <x:row r="194">
      <x:c r="A194" s="25"/>
      <x:c r="B194" s="25"/>
      <x:c r="C194" s="25"/>
      <x:c r="D194" s="25"/>
      <x:c r="E194" s="25"/>
      <x:c r="F194" s="25"/>
      <x:c r="G194" s="39"/>
      <x:c r="H194" s="39"/>
      <x:c r="I194" s="30"/>
      <x:c r="J194" s="30"/>
      <x:c r="K194" s="39"/>
      <x:c r="L194" s="39"/>
      <x:c r="M194" s="39"/>
      <x:c r="N194" s="30"/>
      <x:c r="O194" s="38" t="str">
        <x:f>IF(A194="","",I194-N194)</x:f>
      </x:c>
      <x:c r="P194" s="25"/>
      <x:c r="Q194" s="25"/>
    </x:row>
    <x:row r="195">
      <x:c r="A195" s="25"/>
      <x:c r="B195" s="25"/>
      <x:c r="C195" s="25"/>
      <x:c r="D195" s="25"/>
      <x:c r="E195" s="25"/>
      <x:c r="F195" s="25"/>
      <x:c r="G195" s="39"/>
      <x:c r="H195" s="39"/>
      <x:c r="I195" s="30"/>
      <x:c r="J195" s="30"/>
      <x:c r="K195" s="39"/>
      <x:c r="L195" s="39"/>
      <x:c r="M195" s="39"/>
      <x:c r="N195" s="30"/>
      <x:c r="O195" s="38" t="str">
        <x:f>IF(A195="","",I195-N195)</x:f>
      </x:c>
      <x:c r="P195" s="25"/>
      <x:c r="Q195" s="25"/>
    </x:row>
    <x:row r="196">
      <x:c r="A196" s="25"/>
      <x:c r="B196" s="25"/>
      <x:c r="C196" s="25"/>
      <x:c r="D196" s="25"/>
      <x:c r="E196" s="25"/>
      <x:c r="F196" s="25"/>
      <x:c r="G196" s="39"/>
      <x:c r="H196" s="39"/>
      <x:c r="I196" s="30"/>
      <x:c r="J196" s="30"/>
      <x:c r="K196" s="39"/>
      <x:c r="L196" s="39"/>
      <x:c r="M196" s="39"/>
      <x:c r="N196" s="30"/>
      <x:c r="O196" s="38" t="str">
        <x:f>IF(A196="","",I196-N196)</x:f>
      </x:c>
      <x:c r="P196" s="25"/>
      <x:c r="Q196" s="25"/>
    </x:row>
    <x:row r="197">
      <x:c r="A197" s="25"/>
      <x:c r="B197" s="25"/>
      <x:c r="C197" s="25"/>
      <x:c r="D197" s="25"/>
      <x:c r="E197" s="25"/>
      <x:c r="F197" s="25"/>
      <x:c r="G197" s="39"/>
      <x:c r="H197" s="39"/>
      <x:c r="I197" s="30"/>
      <x:c r="J197" s="30"/>
      <x:c r="K197" s="39"/>
      <x:c r="L197" s="39"/>
      <x:c r="M197" s="39"/>
      <x:c r="N197" s="30"/>
      <x:c r="O197" s="38" t="str">
        <x:f>IF(A197="","",I197-N197)</x:f>
      </x:c>
      <x:c r="P197" s="25"/>
      <x:c r="Q197" s="25"/>
    </x:row>
    <x:row r="198">
      <x:c r="A198" s="25"/>
      <x:c r="B198" s="25"/>
      <x:c r="C198" s="25"/>
      <x:c r="D198" s="25"/>
      <x:c r="E198" s="25"/>
      <x:c r="F198" s="25"/>
      <x:c r="G198" s="39"/>
      <x:c r="H198" s="39"/>
      <x:c r="I198" s="30"/>
      <x:c r="J198" s="30"/>
      <x:c r="K198" s="39"/>
      <x:c r="L198" s="39"/>
      <x:c r="M198" s="39"/>
      <x:c r="N198" s="30"/>
      <x:c r="O198" s="38" t="str">
        <x:f>IF(A198="","",I198-N198)</x:f>
      </x:c>
      <x:c r="P198" s="25"/>
      <x:c r="Q198" s="25"/>
    </x:row>
    <x:row r="199">
      <x:c r="A199" s="25"/>
      <x:c r="B199" s="25"/>
      <x:c r="C199" s="25"/>
      <x:c r="D199" s="25"/>
      <x:c r="E199" s="25"/>
      <x:c r="F199" s="25"/>
      <x:c r="G199" s="39"/>
      <x:c r="H199" s="39"/>
      <x:c r="I199" s="30"/>
      <x:c r="J199" s="30"/>
      <x:c r="K199" s="39"/>
      <x:c r="L199" s="39"/>
      <x:c r="M199" s="39"/>
      <x:c r="N199" s="30"/>
      <x:c r="O199" s="38" t="str">
        <x:f>IF(A199="","",I199-N199)</x:f>
      </x:c>
      <x:c r="P199" s="25"/>
      <x:c r="Q199" s="25"/>
    </x:row>
    <x:row r="200">
      <x:c r="A200" s="25"/>
      <x:c r="B200" s="25"/>
      <x:c r="C200" s="25"/>
      <x:c r="D200" s="25"/>
      <x:c r="E200" s="25"/>
      <x:c r="F200" s="25"/>
      <x:c r="G200" s="39"/>
      <x:c r="H200" s="39"/>
      <x:c r="I200" s="30"/>
      <x:c r="J200" s="30"/>
      <x:c r="K200" s="39"/>
      <x:c r="L200" s="39"/>
      <x:c r="M200" s="39"/>
      <x:c r="N200" s="30"/>
      <x:c r="O200" s="38" t="str">
        <x:f>IF(A200="","",I200-N200)</x:f>
      </x:c>
      <x:c r="P200" s="25"/>
      <x:c r="Q200" s="25"/>
    </x:row>
    <x:row r="201">
      <x:c r="A201" s="25"/>
      <x:c r="B201" s="25"/>
      <x:c r="C201" s="25"/>
      <x:c r="D201" s="25"/>
      <x:c r="E201" s="25"/>
      <x:c r="F201" s="25"/>
      <x:c r="G201" s="39"/>
      <x:c r="H201" s="39"/>
      <x:c r="I201" s="30"/>
      <x:c r="J201" s="30"/>
      <x:c r="K201" s="39"/>
      <x:c r="L201" s="39"/>
      <x:c r="M201" s="39"/>
      <x:c r="N201" s="30"/>
      <x:c r="O201" s="38" t="str">
        <x:f>IF(A201="","",I201-N201)</x:f>
      </x:c>
      <x:c r="P201" s="25"/>
      <x:c r="Q201" s="25"/>
    </x:row>
    <x:row r="202">
      <x:c r="A202" s="25"/>
      <x:c r="B202" s="25"/>
      <x:c r="C202" s="25"/>
      <x:c r="D202" s="25"/>
      <x:c r="E202" s="25"/>
      <x:c r="F202" s="25"/>
      <x:c r="G202" s="39"/>
      <x:c r="H202" s="39"/>
      <x:c r="I202" s="30"/>
      <x:c r="J202" s="30"/>
      <x:c r="K202" s="39"/>
      <x:c r="L202" s="39"/>
      <x:c r="M202" s="39"/>
      <x:c r="N202" s="30"/>
      <x:c r="O202" s="38" t="str">
        <x:f>IF(A202="","",I202-N202)</x:f>
      </x:c>
      <x:c r="P202" s="25"/>
      <x:c r="Q202" s="25"/>
    </x:row>
    <x:row r="203">
      <x:c r="A203" s="25"/>
      <x:c r="B203" s="25"/>
      <x:c r="C203" s="25"/>
      <x:c r="D203" s="25"/>
      <x:c r="E203" s="25"/>
      <x:c r="F203" s="25"/>
      <x:c r="G203" s="39"/>
      <x:c r="H203" s="39"/>
      <x:c r="I203" s="30"/>
      <x:c r="J203" s="30"/>
      <x:c r="K203" s="39"/>
      <x:c r="L203" s="39"/>
      <x:c r="M203" s="39"/>
      <x:c r="N203" s="30"/>
      <x:c r="O203" s="38" t="str">
        <x:f>IF(A203="","",I203-N203)</x:f>
      </x:c>
      <x:c r="P203" s="25"/>
      <x:c r="Q203" s="25"/>
    </x:row>
    <x:row r="204">
      <x:c r="A204" s="25"/>
      <x:c r="B204" s="25"/>
      <x:c r="C204" s="25"/>
      <x:c r="D204" s="25"/>
      <x:c r="E204" s="25"/>
      <x:c r="F204" s="25"/>
      <x:c r="G204" s="39"/>
      <x:c r="H204" s="39"/>
      <x:c r="I204" s="30"/>
      <x:c r="J204" s="30"/>
      <x:c r="K204" s="39"/>
      <x:c r="L204" s="39"/>
      <x:c r="M204" s="39"/>
      <x:c r="N204" s="30"/>
      <x:c r="O204" s="38" t="str">
        <x:f>IF(A204="","",I204-N204)</x:f>
      </x:c>
      <x:c r="P204" s="25"/>
      <x:c r="Q204" s="25"/>
    </x:row>
    <x:row r="205">
      <x:c r="A205" s="25"/>
      <x:c r="B205" s="25"/>
      <x:c r="C205" s="25"/>
      <x:c r="D205" s="25"/>
      <x:c r="E205" s="25"/>
      <x:c r="F205" s="25"/>
      <x:c r="G205" s="39"/>
      <x:c r="H205" s="39"/>
      <x:c r="I205" s="30"/>
      <x:c r="J205" s="30"/>
      <x:c r="K205" s="39"/>
      <x:c r="L205" s="39"/>
      <x:c r="M205" s="39"/>
      <x:c r="N205" s="30"/>
      <x:c r="O205" s="38" t="str">
        <x:f>IF(A205="","",I205-N205)</x:f>
      </x:c>
      <x:c r="P205" s="25"/>
      <x:c r="Q205" s="25"/>
    </x:row>
    <x:row r="206">
      <x:c r="A206" s="25"/>
      <x:c r="B206" s="25"/>
      <x:c r="C206" s="25"/>
      <x:c r="D206" s="25"/>
      <x:c r="E206" s="25"/>
      <x:c r="F206" s="25"/>
      <x:c r="G206" s="39"/>
      <x:c r="H206" s="39"/>
      <x:c r="I206" s="30"/>
      <x:c r="J206" s="30"/>
      <x:c r="K206" s="39"/>
      <x:c r="L206" s="39"/>
      <x:c r="M206" s="39"/>
      <x:c r="N206" s="30"/>
      <x:c r="O206" s="38" t="str">
        <x:f>IF(A206="","",I206-N206)</x:f>
      </x:c>
      <x:c r="P206" s="25"/>
      <x:c r="Q206" s="25"/>
    </x:row>
  </x:sheetData>
  <x:mergeCells>
    <x:mergeCell ref="A1:Q1"/>
    <x:mergeCell ref="A2:Q2"/>
  </x:mergeCells>
  <x:dataValidations count="2">
    <x:dataValidation type="list" sqref="B7:B206">
      <x:formula1>"Price protection,Rotation,Rebate,MDF,Demo,DOA,Warranty,Freight/damage,Other"</x:formula1>
    </x:dataValidation>
    <x:dataValidation type="list" sqref="P7:P206">
      <x:formula1>"Draft,Submitted,Accepted,Rejected,Part-paid,Settled,Disputed"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9" hidden="0" customWidth="1"/>
    <x:col min="4" max="4" width="19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26" hidden="0" customWidth="1"/>
    <x:col min="23" max="23" width="26" hidden="0" customWidth="1"/>
  </x:cols>
  <x:sheetData>
    <x:row r="1" ht="30" customHeight="1">
      <x:c r="A1" s="14" t="str">
        <x:v>Purchase and Due-Date Control</x:v>
      </x:c>
    </x:row>
    <x:row r="2" ht="32" customHeight="1">
      <x:c r="A2" s="17" t="str">
        <x:v>Expected sell-through, cash cover, BG/security exposure and unreceived support must be reviewed before approval.</x:v>
      </x:c>
    </x:row>
    <x:row r="6" ht="32" customHeight="1">
      <x:c r="A6" s="22" t="str">
        <x:v>PO ID</x:v>
      </x:c>
      <x:c r="B6" s="22" t="str">
        <x:v>Supplier</x:v>
      </x:c>
      <x:c r="C6" s="22" t="str">
        <x:v>Brand/SKU</x:v>
      </x:c>
      <x:c r="D6" s="22" t="str">
        <x:v>Structure</x:v>
      </x:c>
      <x:c r="E6" s="22" t="str">
        <x:v>PO date</x:v>
      </x:c>
      <x:c r="F6" s="22" t="str">
        <x:v>Delivery date</x:v>
      </x:c>
      <x:c r="G6" s="22" t="str">
        <x:v>Invoice value</x:v>
      </x:c>
      <x:c r="H6" s="22" t="str">
        <x:v>Landed cost</x:v>
      </x:c>
      <x:c r="I6" s="22" t="str">
        <x:v>Credit days</x:v>
      </x:c>
      <x:c r="J6" s="22" t="str">
        <x:v>Due date</x:v>
      </x:c>
      <x:c r="K6" s="22" t="str">
        <x:v>Forecast sold cost by due</x:v>
      </x:c>
      <x:c r="L6" s="22" t="str">
        <x:v>Cash available by due</x:v>
      </x:c>
      <x:c r="M6" s="22" t="str">
        <x:v>Sell-through cover</x:v>
      </x:c>
      <x:c r="N6" s="22" t="str">
        <x:v>Cash due cover</x:v>
      </x:c>
      <x:c r="O6" s="22" t="str">
        <x:v>Facility used</x:v>
      </x:c>
      <x:c r="P6" s="22" t="str">
        <x:v>BG/security exposure</x:v>
      </x:c>
      <x:c r="Q6" s="22" t="str">
        <x:v>Unreceived support</x:v>
      </x:c>
      <x:c r="R6" s="22" t="str">
        <x:v>Price-protection deadline</x:v>
      </x:c>
      <x:c r="S6" s="22" t="str">
        <x:v>Rotation deadline</x:v>
      </x:c>
      <x:c r="T6" s="22" t="str">
        <x:v>Owner approval ref</x:v>
      </x:c>
      <x:c r="U6" s="22" t="str">
        <x:v>Status</x:v>
      </x:c>
      <x:c r="V6" s="22" t="str">
        <x:v>Exception/action</x:v>
      </x:c>
      <x:c r="W6" s="22" t="str">
        <x:v>Evidence reference</x:v>
      </x:c>
    </x:row>
    <x:row r="7">
      <x:c r="A7" s="25"/>
      <x:c r="B7" s="25"/>
      <x:c r="C7" s="25"/>
      <x:c r="D7" s="25"/>
      <x:c r="E7" s="39"/>
      <x:c r="F7" s="39"/>
      <x:c r="G7" s="30"/>
      <x:c r="H7" s="30"/>
      <x:c r="I7" s="25"/>
      <x:c r="J7" s="42" t="str">
        <x:f>IF(A7="","",E7+I7)</x:f>
      </x:c>
      <x:c r="K7" s="30"/>
      <x:c r="L7" s="30"/>
      <x:c r="M7" s="31" t="str">
        <x:f>IF(A7="","",IF(G7=0,0,K7/G7))</x:f>
      </x:c>
      <x:c r="N7" s="31" t="str">
        <x:f>IF(A7="","",IF(G7=0,0,L7/G7))</x:f>
      </x:c>
      <x:c r="O7" s="30"/>
      <x:c r="P7" s="30"/>
      <x:c r="Q7" s="30"/>
      <x:c r="R7" s="39"/>
      <x:c r="S7" s="39"/>
      <x:c r="T7" s="25"/>
      <x:c r="U7" s="25"/>
      <x:c r="V7" s="25"/>
      <x:c r="W7" s="25"/>
    </x:row>
    <x:row r="8">
      <x:c r="A8" s="25"/>
      <x:c r="B8" s="25"/>
      <x:c r="C8" s="25"/>
      <x:c r="D8" s="25"/>
      <x:c r="E8" s="39"/>
      <x:c r="F8" s="39"/>
      <x:c r="G8" s="30"/>
      <x:c r="H8" s="30"/>
      <x:c r="I8" s="25"/>
      <x:c r="J8" s="42" t="str">
        <x:f>IF(A8="","",E8+I8)</x:f>
      </x:c>
      <x:c r="K8" s="30"/>
      <x:c r="L8" s="30"/>
      <x:c r="M8" s="31" t="str">
        <x:f>IF(A8="","",IF(G8=0,0,K8/G8))</x:f>
      </x:c>
      <x:c r="N8" s="31" t="str">
        <x:f>IF(A8="","",IF(G8=0,0,L8/G8))</x:f>
      </x:c>
      <x:c r="O8" s="30"/>
      <x:c r="P8" s="30"/>
      <x:c r="Q8" s="30"/>
      <x:c r="R8" s="39"/>
      <x:c r="S8" s="39"/>
      <x:c r="T8" s="25"/>
      <x:c r="U8" s="25"/>
      <x:c r="V8" s="25"/>
      <x:c r="W8" s="25"/>
    </x:row>
    <x:row r="9">
      <x:c r="A9" s="25"/>
      <x:c r="B9" s="25"/>
      <x:c r="C9" s="25"/>
      <x:c r="D9" s="25"/>
      <x:c r="E9" s="39"/>
      <x:c r="F9" s="39"/>
      <x:c r="G9" s="30"/>
      <x:c r="H9" s="30"/>
      <x:c r="I9" s="25"/>
      <x:c r="J9" s="42" t="str">
        <x:f>IF(A9="","",E9+I9)</x:f>
      </x:c>
      <x:c r="K9" s="30"/>
      <x:c r="L9" s="30"/>
      <x:c r="M9" s="31" t="str">
        <x:f>IF(A9="","",IF(G9=0,0,K9/G9))</x:f>
      </x:c>
      <x:c r="N9" s="31" t="str">
        <x:f>IF(A9="","",IF(G9=0,0,L9/G9))</x:f>
      </x:c>
      <x:c r="O9" s="30"/>
      <x:c r="P9" s="30"/>
      <x:c r="Q9" s="30"/>
      <x:c r="R9" s="39"/>
      <x:c r="S9" s="39"/>
      <x:c r="T9" s="25"/>
      <x:c r="U9" s="25"/>
      <x:c r="V9" s="25"/>
      <x:c r="W9" s="25"/>
    </x:row>
    <x:row r="10">
      <x:c r="A10" s="25"/>
      <x:c r="B10" s="25"/>
      <x:c r="C10" s="25"/>
      <x:c r="D10" s="25"/>
      <x:c r="E10" s="39"/>
      <x:c r="F10" s="39"/>
      <x:c r="G10" s="30"/>
      <x:c r="H10" s="30"/>
      <x:c r="I10" s="25"/>
      <x:c r="J10" s="42" t="str">
        <x:f>IF(A10="","",E10+I10)</x:f>
      </x:c>
      <x:c r="K10" s="30"/>
      <x:c r="L10" s="30"/>
      <x:c r="M10" s="31" t="str">
        <x:f>IF(A10="","",IF(G10=0,0,K10/G10))</x:f>
      </x:c>
      <x:c r="N10" s="31" t="str">
        <x:f>IF(A10="","",IF(G10=0,0,L10/G10))</x:f>
      </x:c>
      <x:c r="O10" s="30"/>
      <x:c r="P10" s="30"/>
      <x:c r="Q10" s="30"/>
      <x:c r="R10" s="39"/>
      <x:c r="S10" s="39"/>
      <x:c r="T10" s="25"/>
      <x:c r="U10" s="25"/>
      <x:c r="V10" s="25"/>
      <x:c r="W10" s="25"/>
    </x:row>
    <x:row r="11">
      <x:c r="A11" s="25"/>
      <x:c r="B11" s="25"/>
      <x:c r="C11" s="25"/>
      <x:c r="D11" s="25"/>
      <x:c r="E11" s="39"/>
      <x:c r="F11" s="39"/>
      <x:c r="G11" s="30"/>
      <x:c r="H11" s="30"/>
      <x:c r="I11" s="25"/>
      <x:c r="J11" s="42" t="str">
        <x:f>IF(A11="","",E11+I11)</x:f>
      </x:c>
      <x:c r="K11" s="30"/>
      <x:c r="L11" s="30"/>
      <x:c r="M11" s="31" t="str">
        <x:f>IF(A11="","",IF(G11=0,0,K11/G11))</x:f>
      </x:c>
      <x:c r="N11" s="31" t="str">
        <x:f>IF(A11="","",IF(G11=0,0,L11/G11))</x:f>
      </x:c>
      <x:c r="O11" s="30"/>
      <x:c r="P11" s="30"/>
      <x:c r="Q11" s="30"/>
      <x:c r="R11" s="39"/>
      <x:c r="S11" s="39"/>
      <x:c r="T11" s="25"/>
      <x:c r="U11" s="25"/>
      <x:c r="V11" s="25"/>
      <x:c r="W11" s="25"/>
    </x:row>
    <x:row r="12">
      <x:c r="A12" s="25"/>
      <x:c r="B12" s="25"/>
      <x:c r="C12" s="25"/>
      <x:c r="D12" s="25"/>
      <x:c r="E12" s="39"/>
      <x:c r="F12" s="39"/>
      <x:c r="G12" s="30"/>
      <x:c r="H12" s="30"/>
      <x:c r="I12" s="25"/>
      <x:c r="J12" s="42" t="str">
        <x:f>IF(A12="","",E12+I12)</x:f>
      </x:c>
      <x:c r="K12" s="30"/>
      <x:c r="L12" s="30"/>
      <x:c r="M12" s="31" t="str">
        <x:f>IF(A12="","",IF(G12=0,0,K12/G12))</x:f>
      </x:c>
      <x:c r="N12" s="31" t="str">
        <x:f>IF(A12="","",IF(G12=0,0,L12/G12))</x:f>
      </x:c>
      <x:c r="O12" s="30"/>
      <x:c r="P12" s="30"/>
      <x:c r="Q12" s="30"/>
      <x:c r="R12" s="39"/>
      <x:c r="S12" s="39"/>
      <x:c r="T12" s="25"/>
      <x:c r="U12" s="25"/>
      <x:c r="V12" s="25"/>
      <x:c r="W12" s="25"/>
    </x:row>
    <x:row r="13">
      <x:c r="A13" s="25"/>
      <x:c r="B13" s="25"/>
      <x:c r="C13" s="25"/>
      <x:c r="D13" s="25"/>
      <x:c r="E13" s="39"/>
      <x:c r="F13" s="39"/>
      <x:c r="G13" s="30"/>
      <x:c r="H13" s="30"/>
      <x:c r="I13" s="25"/>
      <x:c r="J13" s="42" t="str">
        <x:f>IF(A13="","",E13+I13)</x:f>
      </x:c>
      <x:c r="K13" s="30"/>
      <x:c r="L13" s="30"/>
      <x:c r="M13" s="31" t="str">
        <x:f>IF(A13="","",IF(G13=0,0,K13/G13))</x:f>
      </x:c>
      <x:c r="N13" s="31" t="str">
        <x:f>IF(A13="","",IF(G13=0,0,L13/G13))</x:f>
      </x:c>
      <x:c r="O13" s="30"/>
      <x:c r="P13" s="30"/>
      <x:c r="Q13" s="30"/>
      <x:c r="R13" s="39"/>
      <x:c r="S13" s="39"/>
      <x:c r="T13" s="25"/>
      <x:c r="U13" s="25"/>
      <x:c r="V13" s="25"/>
      <x:c r="W13" s="25"/>
    </x:row>
    <x:row r="14">
      <x:c r="A14" s="25"/>
      <x:c r="B14" s="25"/>
      <x:c r="C14" s="25"/>
      <x:c r="D14" s="25"/>
      <x:c r="E14" s="39"/>
      <x:c r="F14" s="39"/>
      <x:c r="G14" s="30"/>
      <x:c r="H14" s="30"/>
      <x:c r="I14" s="25"/>
      <x:c r="J14" s="42" t="str">
        <x:f>IF(A14="","",E14+I14)</x:f>
      </x:c>
      <x:c r="K14" s="30"/>
      <x:c r="L14" s="30"/>
      <x:c r="M14" s="31" t="str">
        <x:f>IF(A14="","",IF(G14=0,0,K14/G14))</x:f>
      </x:c>
      <x:c r="N14" s="31" t="str">
        <x:f>IF(A14="","",IF(G14=0,0,L14/G14))</x:f>
      </x:c>
      <x:c r="O14" s="30"/>
      <x:c r="P14" s="30"/>
      <x:c r="Q14" s="30"/>
      <x:c r="R14" s="39"/>
      <x:c r="S14" s="39"/>
      <x:c r="T14" s="25"/>
      <x:c r="U14" s="25"/>
      <x:c r="V14" s="25"/>
      <x:c r="W14" s="25"/>
    </x:row>
    <x:row r="15">
      <x:c r="A15" s="25"/>
      <x:c r="B15" s="25"/>
      <x:c r="C15" s="25"/>
      <x:c r="D15" s="25"/>
      <x:c r="E15" s="39"/>
      <x:c r="F15" s="39"/>
      <x:c r="G15" s="30"/>
      <x:c r="H15" s="30"/>
      <x:c r="I15" s="25"/>
      <x:c r="J15" s="42" t="str">
        <x:f>IF(A15="","",E15+I15)</x:f>
      </x:c>
      <x:c r="K15" s="30"/>
      <x:c r="L15" s="30"/>
      <x:c r="M15" s="31" t="str">
        <x:f>IF(A15="","",IF(G15=0,0,K15/G15))</x:f>
      </x:c>
      <x:c r="N15" s="31" t="str">
        <x:f>IF(A15="","",IF(G15=0,0,L15/G15))</x:f>
      </x:c>
      <x:c r="O15" s="30"/>
      <x:c r="P15" s="30"/>
      <x:c r="Q15" s="30"/>
      <x:c r="R15" s="39"/>
      <x:c r="S15" s="39"/>
      <x:c r="T15" s="25"/>
      <x:c r="U15" s="25"/>
      <x:c r="V15" s="25"/>
      <x:c r="W15" s="25"/>
    </x:row>
    <x:row r="16">
      <x:c r="A16" s="25"/>
      <x:c r="B16" s="25"/>
      <x:c r="C16" s="25"/>
      <x:c r="D16" s="25"/>
      <x:c r="E16" s="39"/>
      <x:c r="F16" s="39"/>
      <x:c r="G16" s="30"/>
      <x:c r="H16" s="30"/>
      <x:c r="I16" s="25"/>
      <x:c r="J16" s="42" t="str">
        <x:f>IF(A16="","",E16+I16)</x:f>
      </x:c>
      <x:c r="K16" s="30"/>
      <x:c r="L16" s="30"/>
      <x:c r="M16" s="31" t="str">
        <x:f>IF(A16="","",IF(G16=0,0,K16/G16))</x:f>
      </x:c>
      <x:c r="N16" s="31" t="str">
        <x:f>IF(A16="","",IF(G16=0,0,L16/G16))</x:f>
      </x:c>
      <x:c r="O16" s="30"/>
      <x:c r="P16" s="30"/>
      <x:c r="Q16" s="30"/>
      <x:c r="R16" s="39"/>
      <x:c r="S16" s="39"/>
      <x:c r="T16" s="25"/>
      <x:c r="U16" s="25"/>
      <x:c r="V16" s="25"/>
      <x:c r="W16" s="25"/>
    </x:row>
    <x:row r="17">
      <x:c r="A17" s="25"/>
      <x:c r="B17" s="25"/>
      <x:c r="C17" s="25"/>
      <x:c r="D17" s="25"/>
      <x:c r="E17" s="39"/>
      <x:c r="F17" s="39"/>
      <x:c r="G17" s="30"/>
      <x:c r="H17" s="30"/>
      <x:c r="I17" s="25"/>
      <x:c r="J17" s="42" t="str">
        <x:f>IF(A17="","",E17+I17)</x:f>
      </x:c>
      <x:c r="K17" s="30"/>
      <x:c r="L17" s="30"/>
      <x:c r="M17" s="31" t="str">
        <x:f>IF(A17="","",IF(G17=0,0,K17/G17))</x:f>
      </x:c>
      <x:c r="N17" s="31" t="str">
        <x:f>IF(A17="","",IF(G17=0,0,L17/G17))</x:f>
      </x:c>
      <x:c r="O17" s="30"/>
      <x:c r="P17" s="30"/>
      <x:c r="Q17" s="30"/>
      <x:c r="R17" s="39"/>
      <x:c r="S17" s="39"/>
      <x:c r="T17" s="25"/>
      <x:c r="U17" s="25"/>
      <x:c r="V17" s="25"/>
      <x:c r="W17" s="25"/>
    </x:row>
    <x:row r="18">
      <x:c r="A18" s="25"/>
      <x:c r="B18" s="25"/>
      <x:c r="C18" s="25"/>
      <x:c r="D18" s="25"/>
      <x:c r="E18" s="39"/>
      <x:c r="F18" s="39"/>
      <x:c r="G18" s="30"/>
      <x:c r="H18" s="30"/>
      <x:c r="I18" s="25"/>
      <x:c r="J18" s="42" t="str">
        <x:f>IF(A18="","",E18+I18)</x:f>
      </x:c>
      <x:c r="K18" s="30"/>
      <x:c r="L18" s="30"/>
      <x:c r="M18" s="31" t="str">
        <x:f>IF(A18="","",IF(G18=0,0,K18/G18))</x:f>
      </x:c>
      <x:c r="N18" s="31" t="str">
        <x:f>IF(A18="","",IF(G18=0,0,L18/G18))</x:f>
      </x:c>
      <x:c r="O18" s="30"/>
      <x:c r="P18" s="30"/>
      <x:c r="Q18" s="30"/>
      <x:c r="R18" s="39"/>
      <x:c r="S18" s="39"/>
      <x:c r="T18" s="25"/>
      <x:c r="U18" s="25"/>
      <x:c r="V18" s="25"/>
      <x:c r="W18" s="25"/>
    </x:row>
    <x:row r="19">
      <x:c r="A19" s="25"/>
      <x:c r="B19" s="25"/>
      <x:c r="C19" s="25"/>
      <x:c r="D19" s="25"/>
      <x:c r="E19" s="39"/>
      <x:c r="F19" s="39"/>
      <x:c r="G19" s="30"/>
      <x:c r="H19" s="30"/>
      <x:c r="I19" s="25"/>
      <x:c r="J19" s="42" t="str">
        <x:f>IF(A19="","",E19+I19)</x:f>
      </x:c>
      <x:c r="K19" s="30"/>
      <x:c r="L19" s="30"/>
      <x:c r="M19" s="31" t="str">
        <x:f>IF(A19="","",IF(G19=0,0,K19/G19))</x:f>
      </x:c>
      <x:c r="N19" s="31" t="str">
        <x:f>IF(A19="","",IF(G19=0,0,L19/G19))</x:f>
      </x:c>
      <x:c r="O19" s="30"/>
      <x:c r="P19" s="30"/>
      <x:c r="Q19" s="30"/>
      <x:c r="R19" s="39"/>
      <x:c r="S19" s="39"/>
      <x:c r="T19" s="25"/>
      <x:c r="U19" s="25"/>
      <x:c r="V19" s="25"/>
      <x:c r="W19" s="25"/>
    </x:row>
    <x:row r="20">
      <x:c r="A20" s="25"/>
      <x:c r="B20" s="25"/>
      <x:c r="C20" s="25"/>
      <x:c r="D20" s="25"/>
      <x:c r="E20" s="39"/>
      <x:c r="F20" s="39"/>
      <x:c r="G20" s="30"/>
      <x:c r="H20" s="30"/>
      <x:c r="I20" s="25"/>
      <x:c r="J20" s="42" t="str">
        <x:f>IF(A20="","",E20+I20)</x:f>
      </x:c>
      <x:c r="K20" s="30"/>
      <x:c r="L20" s="30"/>
      <x:c r="M20" s="31" t="str">
        <x:f>IF(A20="","",IF(G20=0,0,K20/G20))</x:f>
      </x:c>
      <x:c r="N20" s="31" t="str">
        <x:f>IF(A20="","",IF(G20=0,0,L20/G20))</x:f>
      </x:c>
      <x:c r="O20" s="30"/>
      <x:c r="P20" s="30"/>
      <x:c r="Q20" s="30"/>
      <x:c r="R20" s="39"/>
      <x:c r="S20" s="39"/>
      <x:c r="T20" s="25"/>
      <x:c r="U20" s="25"/>
      <x:c r="V20" s="25"/>
      <x:c r="W20" s="25"/>
    </x:row>
    <x:row r="21">
      <x:c r="A21" s="25"/>
      <x:c r="B21" s="25"/>
      <x:c r="C21" s="25"/>
      <x:c r="D21" s="25"/>
      <x:c r="E21" s="39"/>
      <x:c r="F21" s="39"/>
      <x:c r="G21" s="30"/>
      <x:c r="H21" s="30"/>
      <x:c r="I21" s="25"/>
      <x:c r="J21" s="42" t="str">
        <x:f>IF(A21="","",E21+I21)</x:f>
      </x:c>
      <x:c r="K21" s="30"/>
      <x:c r="L21" s="30"/>
      <x:c r="M21" s="31" t="str">
        <x:f>IF(A21="","",IF(G21=0,0,K21/G21))</x:f>
      </x:c>
      <x:c r="N21" s="31" t="str">
        <x:f>IF(A21="","",IF(G21=0,0,L21/G21))</x:f>
      </x:c>
      <x:c r="O21" s="30"/>
      <x:c r="P21" s="30"/>
      <x:c r="Q21" s="30"/>
      <x:c r="R21" s="39"/>
      <x:c r="S21" s="39"/>
      <x:c r="T21" s="25"/>
      <x:c r="U21" s="25"/>
      <x:c r="V21" s="25"/>
      <x:c r="W21" s="25"/>
    </x:row>
    <x:row r="22">
      <x:c r="A22" s="25"/>
      <x:c r="B22" s="25"/>
      <x:c r="C22" s="25"/>
      <x:c r="D22" s="25"/>
      <x:c r="E22" s="39"/>
      <x:c r="F22" s="39"/>
      <x:c r="G22" s="30"/>
      <x:c r="H22" s="30"/>
      <x:c r="I22" s="25"/>
      <x:c r="J22" s="42" t="str">
        <x:f>IF(A22="","",E22+I22)</x:f>
      </x:c>
      <x:c r="K22" s="30"/>
      <x:c r="L22" s="30"/>
      <x:c r="M22" s="31" t="str">
        <x:f>IF(A22="","",IF(G22=0,0,K22/G22))</x:f>
      </x:c>
      <x:c r="N22" s="31" t="str">
        <x:f>IF(A22="","",IF(G22=0,0,L22/G22))</x:f>
      </x:c>
      <x:c r="O22" s="30"/>
      <x:c r="P22" s="30"/>
      <x:c r="Q22" s="30"/>
      <x:c r="R22" s="39"/>
      <x:c r="S22" s="39"/>
      <x:c r="T22" s="25"/>
      <x:c r="U22" s="25"/>
      <x:c r="V22" s="25"/>
      <x:c r="W22" s="25"/>
    </x:row>
    <x:row r="23">
      <x:c r="A23" s="25"/>
      <x:c r="B23" s="25"/>
      <x:c r="C23" s="25"/>
      <x:c r="D23" s="25"/>
      <x:c r="E23" s="39"/>
      <x:c r="F23" s="39"/>
      <x:c r="G23" s="30"/>
      <x:c r="H23" s="30"/>
      <x:c r="I23" s="25"/>
      <x:c r="J23" s="42" t="str">
        <x:f>IF(A23="","",E23+I23)</x:f>
      </x:c>
      <x:c r="K23" s="30"/>
      <x:c r="L23" s="30"/>
      <x:c r="M23" s="31" t="str">
        <x:f>IF(A23="","",IF(G23=0,0,K23/G23))</x:f>
      </x:c>
      <x:c r="N23" s="31" t="str">
        <x:f>IF(A23="","",IF(G23=0,0,L23/G23))</x:f>
      </x:c>
      <x:c r="O23" s="30"/>
      <x:c r="P23" s="30"/>
      <x:c r="Q23" s="30"/>
      <x:c r="R23" s="39"/>
      <x:c r="S23" s="39"/>
      <x:c r="T23" s="25"/>
      <x:c r="U23" s="25"/>
      <x:c r="V23" s="25"/>
      <x:c r="W23" s="25"/>
    </x:row>
    <x:row r="24">
      <x:c r="A24" s="25"/>
      <x:c r="B24" s="25"/>
      <x:c r="C24" s="25"/>
      <x:c r="D24" s="25"/>
      <x:c r="E24" s="39"/>
      <x:c r="F24" s="39"/>
      <x:c r="G24" s="30"/>
      <x:c r="H24" s="30"/>
      <x:c r="I24" s="25"/>
      <x:c r="J24" s="42" t="str">
        <x:f>IF(A24="","",E24+I24)</x:f>
      </x:c>
      <x:c r="K24" s="30"/>
      <x:c r="L24" s="30"/>
      <x:c r="M24" s="31" t="str">
        <x:f>IF(A24="","",IF(G24=0,0,K24/G24))</x:f>
      </x:c>
      <x:c r="N24" s="31" t="str">
        <x:f>IF(A24="","",IF(G24=0,0,L24/G24))</x:f>
      </x:c>
      <x:c r="O24" s="30"/>
      <x:c r="P24" s="30"/>
      <x:c r="Q24" s="30"/>
      <x:c r="R24" s="39"/>
      <x:c r="S24" s="39"/>
      <x:c r="T24" s="25"/>
      <x:c r="U24" s="25"/>
      <x:c r="V24" s="25"/>
      <x:c r="W24" s="25"/>
    </x:row>
    <x:row r="25">
      <x:c r="A25" s="25"/>
      <x:c r="B25" s="25"/>
      <x:c r="C25" s="25"/>
      <x:c r="D25" s="25"/>
      <x:c r="E25" s="39"/>
      <x:c r="F25" s="39"/>
      <x:c r="G25" s="30"/>
      <x:c r="H25" s="30"/>
      <x:c r="I25" s="25"/>
      <x:c r="J25" s="42" t="str">
        <x:f>IF(A25="","",E25+I25)</x:f>
      </x:c>
      <x:c r="K25" s="30"/>
      <x:c r="L25" s="30"/>
      <x:c r="M25" s="31" t="str">
        <x:f>IF(A25="","",IF(G25=0,0,K25/G25))</x:f>
      </x:c>
      <x:c r="N25" s="31" t="str">
        <x:f>IF(A25="","",IF(G25=0,0,L25/G25))</x:f>
      </x:c>
      <x:c r="O25" s="30"/>
      <x:c r="P25" s="30"/>
      <x:c r="Q25" s="30"/>
      <x:c r="R25" s="39"/>
      <x:c r="S25" s="39"/>
      <x:c r="T25" s="25"/>
      <x:c r="U25" s="25"/>
      <x:c r="V25" s="25"/>
      <x:c r="W25" s="25"/>
    </x:row>
    <x:row r="26">
      <x:c r="A26" s="25"/>
      <x:c r="B26" s="25"/>
      <x:c r="C26" s="25"/>
      <x:c r="D26" s="25"/>
      <x:c r="E26" s="39"/>
      <x:c r="F26" s="39"/>
      <x:c r="G26" s="30"/>
      <x:c r="H26" s="30"/>
      <x:c r="I26" s="25"/>
      <x:c r="J26" s="42" t="str">
        <x:f>IF(A26="","",E26+I26)</x:f>
      </x:c>
      <x:c r="K26" s="30"/>
      <x:c r="L26" s="30"/>
      <x:c r="M26" s="31" t="str">
        <x:f>IF(A26="","",IF(G26=0,0,K26/G26))</x:f>
      </x:c>
      <x:c r="N26" s="31" t="str">
        <x:f>IF(A26="","",IF(G26=0,0,L26/G26))</x:f>
      </x:c>
      <x:c r="O26" s="30"/>
      <x:c r="P26" s="30"/>
      <x:c r="Q26" s="30"/>
      <x:c r="R26" s="39"/>
      <x:c r="S26" s="39"/>
      <x:c r="T26" s="25"/>
      <x:c r="U26" s="25"/>
      <x:c r="V26" s="25"/>
      <x:c r="W26" s="25"/>
    </x:row>
    <x:row r="27">
      <x:c r="A27" s="25"/>
      <x:c r="B27" s="25"/>
      <x:c r="C27" s="25"/>
      <x:c r="D27" s="25"/>
      <x:c r="E27" s="39"/>
      <x:c r="F27" s="39"/>
      <x:c r="G27" s="30"/>
      <x:c r="H27" s="30"/>
      <x:c r="I27" s="25"/>
      <x:c r="J27" s="42" t="str">
        <x:f>IF(A27="","",E27+I27)</x:f>
      </x:c>
      <x:c r="K27" s="30"/>
      <x:c r="L27" s="30"/>
      <x:c r="M27" s="31" t="str">
        <x:f>IF(A27="","",IF(G27=0,0,K27/G27))</x:f>
      </x:c>
      <x:c r="N27" s="31" t="str">
        <x:f>IF(A27="","",IF(G27=0,0,L27/G27))</x:f>
      </x:c>
      <x:c r="O27" s="30"/>
      <x:c r="P27" s="30"/>
      <x:c r="Q27" s="30"/>
      <x:c r="R27" s="39"/>
      <x:c r="S27" s="39"/>
      <x:c r="T27" s="25"/>
      <x:c r="U27" s="25"/>
      <x:c r="V27" s="25"/>
      <x:c r="W27" s="25"/>
    </x:row>
    <x:row r="28">
      <x:c r="A28" s="25"/>
      <x:c r="B28" s="25"/>
      <x:c r="C28" s="25"/>
      <x:c r="D28" s="25"/>
      <x:c r="E28" s="39"/>
      <x:c r="F28" s="39"/>
      <x:c r="G28" s="30"/>
      <x:c r="H28" s="30"/>
      <x:c r="I28" s="25"/>
      <x:c r="J28" s="42" t="str">
        <x:f>IF(A28="","",E28+I28)</x:f>
      </x:c>
      <x:c r="K28" s="30"/>
      <x:c r="L28" s="30"/>
      <x:c r="M28" s="31" t="str">
        <x:f>IF(A28="","",IF(G28=0,0,K28/G28))</x:f>
      </x:c>
      <x:c r="N28" s="31" t="str">
        <x:f>IF(A28="","",IF(G28=0,0,L28/G28))</x:f>
      </x:c>
      <x:c r="O28" s="30"/>
      <x:c r="P28" s="30"/>
      <x:c r="Q28" s="30"/>
      <x:c r="R28" s="39"/>
      <x:c r="S28" s="39"/>
      <x:c r="T28" s="25"/>
      <x:c r="U28" s="25"/>
      <x:c r="V28" s="25"/>
      <x:c r="W28" s="25"/>
    </x:row>
    <x:row r="29">
      <x:c r="A29" s="25"/>
      <x:c r="B29" s="25"/>
      <x:c r="C29" s="25"/>
      <x:c r="D29" s="25"/>
      <x:c r="E29" s="39"/>
      <x:c r="F29" s="39"/>
      <x:c r="G29" s="30"/>
      <x:c r="H29" s="30"/>
      <x:c r="I29" s="25"/>
      <x:c r="J29" s="42" t="str">
        <x:f>IF(A29="","",E29+I29)</x:f>
      </x:c>
      <x:c r="K29" s="30"/>
      <x:c r="L29" s="30"/>
      <x:c r="M29" s="31" t="str">
        <x:f>IF(A29="","",IF(G29=0,0,K29/G29))</x:f>
      </x:c>
      <x:c r="N29" s="31" t="str">
        <x:f>IF(A29="","",IF(G29=0,0,L29/G29))</x:f>
      </x:c>
      <x:c r="O29" s="30"/>
      <x:c r="P29" s="30"/>
      <x:c r="Q29" s="30"/>
      <x:c r="R29" s="39"/>
      <x:c r="S29" s="39"/>
      <x:c r="T29" s="25"/>
      <x:c r="U29" s="25"/>
      <x:c r="V29" s="25"/>
      <x:c r="W29" s="25"/>
    </x:row>
    <x:row r="30">
      <x:c r="A30" s="25"/>
      <x:c r="B30" s="25"/>
      <x:c r="C30" s="25"/>
      <x:c r="D30" s="25"/>
      <x:c r="E30" s="39"/>
      <x:c r="F30" s="39"/>
      <x:c r="G30" s="30"/>
      <x:c r="H30" s="30"/>
      <x:c r="I30" s="25"/>
      <x:c r="J30" s="42" t="str">
        <x:f>IF(A30="","",E30+I30)</x:f>
      </x:c>
      <x:c r="K30" s="30"/>
      <x:c r="L30" s="30"/>
      <x:c r="M30" s="31" t="str">
        <x:f>IF(A30="","",IF(G30=0,0,K30/G30))</x:f>
      </x:c>
      <x:c r="N30" s="31" t="str">
        <x:f>IF(A30="","",IF(G30=0,0,L30/G30))</x:f>
      </x:c>
      <x:c r="O30" s="30"/>
      <x:c r="P30" s="30"/>
      <x:c r="Q30" s="30"/>
      <x:c r="R30" s="39"/>
      <x:c r="S30" s="39"/>
      <x:c r="T30" s="25"/>
      <x:c r="U30" s="25"/>
      <x:c r="V30" s="25"/>
      <x:c r="W30" s="25"/>
    </x:row>
    <x:row r="31">
      <x:c r="A31" s="25"/>
      <x:c r="B31" s="25"/>
      <x:c r="C31" s="25"/>
      <x:c r="D31" s="25"/>
      <x:c r="E31" s="39"/>
      <x:c r="F31" s="39"/>
      <x:c r="G31" s="30"/>
      <x:c r="H31" s="30"/>
      <x:c r="I31" s="25"/>
      <x:c r="J31" s="42" t="str">
        <x:f>IF(A31="","",E31+I31)</x:f>
      </x:c>
      <x:c r="K31" s="30"/>
      <x:c r="L31" s="30"/>
      <x:c r="M31" s="31" t="str">
        <x:f>IF(A31="","",IF(G31=0,0,K31/G31))</x:f>
      </x:c>
      <x:c r="N31" s="31" t="str">
        <x:f>IF(A31="","",IF(G31=0,0,L31/G31))</x:f>
      </x:c>
      <x:c r="O31" s="30"/>
      <x:c r="P31" s="30"/>
      <x:c r="Q31" s="30"/>
      <x:c r="R31" s="39"/>
      <x:c r="S31" s="39"/>
      <x:c r="T31" s="25"/>
      <x:c r="U31" s="25"/>
      <x:c r="V31" s="25"/>
      <x:c r="W31" s="25"/>
    </x:row>
    <x:row r="32">
      <x:c r="A32" s="25"/>
      <x:c r="B32" s="25"/>
      <x:c r="C32" s="25"/>
      <x:c r="D32" s="25"/>
      <x:c r="E32" s="39"/>
      <x:c r="F32" s="39"/>
      <x:c r="G32" s="30"/>
      <x:c r="H32" s="30"/>
      <x:c r="I32" s="25"/>
      <x:c r="J32" s="42" t="str">
        <x:f>IF(A32="","",E32+I32)</x:f>
      </x:c>
      <x:c r="K32" s="30"/>
      <x:c r="L32" s="30"/>
      <x:c r="M32" s="31" t="str">
        <x:f>IF(A32="","",IF(G32=0,0,K32/G32))</x:f>
      </x:c>
      <x:c r="N32" s="31" t="str">
        <x:f>IF(A32="","",IF(G32=0,0,L32/G32))</x:f>
      </x:c>
      <x:c r="O32" s="30"/>
      <x:c r="P32" s="30"/>
      <x:c r="Q32" s="30"/>
      <x:c r="R32" s="39"/>
      <x:c r="S32" s="39"/>
      <x:c r="T32" s="25"/>
      <x:c r="U32" s="25"/>
      <x:c r="V32" s="25"/>
      <x:c r="W32" s="25"/>
    </x:row>
    <x:row r="33">
      <x:c r="A33" s="25"/>
      <x:c r="B33" s="25"/>
      <x:c r="C33" s="25"/>
      <x:c r="D33" s="25"/>
      <x:c r="E33" s="39"/>
      <x:c r="F33" s="39"/>
      <x:c r="G33" s="30"/>
      <x:c r="H33" s="30"/>
      <x:c r="I33" s="25"/>
      <x:c r="J33" s="42" t="str">
        <x:f>IF(A33="","",E33+I33)</x:f>
      </x:c>
      <x:c r="K33" s="30"/>
      <x:c r="L33" s="30"/>
      <x:c r="M33" s="31" t="str">
        <x:f>IF(A33="","",IF(G33=0,0,K33/G33))</x:f>
      </x:c>
      <x:c r="N33" s="31" t="str">
        <x:f>IF(A33="","",IF(G33=0,0,L33/G33))</x:f>
      </x:c>
      <x:c r="O33" s="30"/>
      <x:c r="P33" s="30"/>
      <x:c r="Q33" s="30"/>
      <x:c r="R33" s="39"/>
      <x:c r="S33" s="39"/>
      <x:c r="T33" s="25"/>
      <x:c r="U33" s="25"/>
      <x:c r="V33" s="25"/>
      <x:c r="W33" s="25"/>
    </x:row>
    <x:row r="34">
      <x:c r="A34" s="25"/>
      <x:c r="B34" s="25"/>
      <x:c r="C34" s="25"/>
      <x:c r="D34" s="25"/>
      <x:c r="E34" s="39"/>
      <x:c r="F34" s="39"/>
      <x:c r="G34" s="30"/>
      <x:c r="H34" s="30"/>
      <x:c r="I34" s="25"/>
      <x:c r="J34" s="42" t="str">
        <x:f>IF(A34="","",E34+I34)</x:f>
      </x:c>
      <x:c r="K34" s="30"/>
      <x:c r="L34" s="30"/>
      <x:c r="M34" s="31" t="str">
        <x:f>IF(A34="","",IF(G34=0,0,K34/G34))</x:f>
      </x:c>
      <x:c r="N34" s="31" t="str">
        <x:f>IF(A34="","",IF(G34=0,0,L34/G34))</x:f>
      </x:c>
      <x:c r="O34" s="30"/>
      <x:c r="P34" s="30"/>
      <x:c r="Q34" s="30"/>
      <x:c r="R34" s="39"/>
      <x:c r="S34" s="39"/>
      <x:c r="T34" s="25"/>
      <x:c r="U34" s="25"/>
      <x:c r="V34" s="25"/>
      <x:c r="W34" s="25"/>
    </x:row>
    <x:row r="35">
      <x:c r="A35" s="25"/>
      <x:c r="B35" s="25"/>
      <x:c r="C35" s="25"/>
      <x:c r="D35" s="25"/>
      <x:c r="E35" s="39"/>
      <x:c r="F35" s="39"/>
      <x:c r="G35" s="30"/>
      <x:c r="H35" s="30"/>
      <x:c r="I35" s="25"/>
      <x:c r="J35" s="42" t="str">
        <x:f>IF(A35="","",E35+I35)</x:f>
      </x:c>
      <x:c r="K35" s="30"/>
      <x:c r="L35" s="30"/>
      <x:c r="M35" s="31" t="str">
        <x:f>IF(A35="","",IF(G35=0,0,K35/G35))</x:f>
      </x:c>
      <x:c r="N35" s="31" t="str">
        <x:f>IF(A35="","",IF(G35=0,0,L35/G35))</x:f>
      </x:c>
      <x:c r="O35" s="30"/>
      <x:c r="P35" s="30"/>
      <x:c r="Q35" s="30"/>
      <x:c r="R35" s="39"/>
      <x:c r="S35" s="39"/>
      <x:c r="T35" s="25"/>
      <x:c r="U35" s="25"/>
      <x:c r="V35" s="25"/>
      <x:c r="W35" s="25"/>
    </x:row>
    <x:row r="36">
      <x:c r="A36" s="25"/>
      <x:c r="B36" s="25"/>
      <x:c r="C36" s="25"/>
      <x:c r="D36" s="25"/>
      <x:c r="E36" s="39"/>
      <x:c r="F36" s="39"/>
      <x:c r="G36" s="30"/>
      <x:c r="H36" s="30"/>
      <x:c r="I36" s="25"/>
      <x:c r="J36" s="42" t="str">
        <x:f>IF(A36="","",E36+I36)</x:f>
      </x:c>
      <x:c r="K36" s="30"/>
      <x:c r="L36" s="30"/>
      <x:c r="M36" s="31" t="str">
        <x:f>IF(A36="","",IF(G36=0,0,K36/G36))</x:f>
      </x:c>
      <x:c r="N36" s="31" t="str">
        <x:f>IF(A36="","",IF(G36=0,0,L36/G36))</x:f>
      </x:c>
      <x:c r="O36" s="30"/>
      <x:c r="P36" s="30"/>
      <x:c r="Q36" s="30"/>
      <x:c r="R36" s="39"/>
      <x:c r="S36" s="39"/>
      <x:c r="T36" s="25"/>
      <x:c r="U36" s="25"/>
      <x:c r="V36" s="25"/>
      <x:c r="W36" s="25"/>
    </x:row>
    <x:row r="37">
      <x:c r="A37" s="25"/>
      <x:c r="B37" s="25"/>
      <x:c r="C37" s="25"/>
      <x:c r="D37" s="25"/>
      <x:c r="E37" s="39"/>
      <x:c r="F37" s="39"/>
      <x:c r="G37" s="30"/>
      <x:c r="H37" s="30"/>
      <x:c r="I37" s="25"/>
      <x:c r="J37" s="42" t="str">
        <x:f>IF(A37="","",E37+I37)</x:f>
      </x:c>
      <x:c r="K37" s="30"/>
      <x:c r="L37" s="30"/>
      <x:c r="M37" s="31" t="str">
        <x:f>IF(A37="","",IF(G37=0,0,K37/G37))</x:f>
      </x:c>
      <x:c r="N37" s="31" t="str">
        <x:f>IF(A37="","",IF(G37=0,0,L37/G37))</x:f>
      </x:c>
      <x:c r="O37" s="30"/>
      <x:c r="P37" s="30"/>
      <x:c r="Q37" s="30"/>
      <x:c r="R37" s="39"/>
      <x:c r="S37" s="39"/>
      <x:c r="T37" s="25"/>
      <x:c r="U37" s="25"/>
      <x:c r="V37" s="25"/>
      <x:c r="W37" s="25"/>
    </x:row>
    <x:row r="38">
      <x:c r="A38" s="25"/>
      <x:c r="B38" s="25"/>
      <x:c r="C38" s="25"/>
      <x:c r="D38" s="25"/>
      <x:c r="E38" s="39"/>
      <x:c r="F38" s="39"/>
      <x:c r="G38" s="30"/>
      <x:c r="H38" s="30"/>
      <x:c r="I38" s="25"/>
      <x:c r="J38" s="42" t="str">
        <x:f>IF(A38="","",E38+I38)</x:f>
      </x:c>
      <x:c r="K38" s="30"/>
      <x:c r="L38" s="30"/>
      <x:c r="M38" s="31" t="str">
        <x:f>IF(A38="","",IF(G38=0,0,K38/G38))</x:f>
      </x:c>
      <x:c r="N38" s="31" t="str">
        <x:f>IF(A38="","",IF(G38=0,0,L38/G38))</x:f>
      </x:c>
      <x:c r="O38" s="30"/>
      <x:c r="P38" s="30"/>
      <x:c r="Q38" s="30"/>
      <x:c r="R38" s="39"/>
      <x:c r="S38" s="39"/>
      <x:c r="T38" s="25"/>
      <x:c r="U38" s="25"/>
      <x:c r="V38" s="25"/>
      <x:c r="W38" s="25"/>
    </x:row>
    <x:row r="39">
      <x:c r="A39" s="25"/>
      <x:c r="B39" s="25"/>
      <x:c r="C39" s="25"/>
      <x:c r="D39" s="25"/>
      <x:c r="E39" s="39"/>
      <x:c r="F39" s="39"/>
      <x:c r="G39" s="30"/>
      <x:c r="H39" s="30"/>
      <x:c r="I39" s="25"/>
      <x:c r="J39" s="42" t="str">
        <x:f>IF(A39="","",E39+I39)</x:f>
      </x:c>
      <x:c r="K39" s="30"/>
      <x:c r="L39" s="30"/>
      <x:c r="M39" s="31" t="str">
        <x:f>IF(A39="","",IF(G39=0,0,K39/G39))</x:f>
      </x:c>
      <x:c r="N39" s="31" t="str">
        <x:f>IF(A39="","",IF(G39=0,0,L39/G39))</x:f>
      </x:c>
      <x:c r="O39" s="30"/>
      <x:c r="P39" s="30"/>
      <x:c r="Q39" s="30"/>
      <x:c r="R39" s="39"/>
      <x:c r="S39" s="39"/>
      <x:c r="T39" s="25"/>
      <x:c r="U39" s="25"/>
      <x:c r="V39" s="25"/>
      <x:c r="W39" s="25"/>
    </x:row>
    <x:row r="40">
      <x:c r="A40" s="25"/>
      <x:c r="B40" s="25"/>
      <x:c r="C40" s="25"/>
      <x:c r="D40" s="25"/>
      <x:c r="E40" s="39"/>
      <x:c r="F40" s="39"/>
      <x:c r="G40" s="30"/>
      <x:c r="H40" s="30"/>
      <x:c r="I40" s="25"/>
      <x:c r="J40" s="42" t="str">
        <x:f>IF(A40="","",E40+I40)</x:f>
      </x:c>
      <x:c r="K40" s="30"/>
      <x:c r="L40" s="30"/>
      <x:c r="M40" s="31" t="str">
        <x:f>IF(A40="","",IF(G40=0,0,K40/G40))</x:f>
      </x:c>
      <x:c r="N40" s="31" t="str">
        <x:f>IF(A40="","",IF(G40=0,0,L40/G40))</x:f>
      </x:c>
      <x:c r="O40" s="30"/>
      <x:c r="P40" s="30"/>
      <x:c r="Q40" s="30"/>
      <x:c r="R40" s="39"/>
      <x:c r="S40" s="39"/>
      <x:c r="T40" s="25"/>
      <x:c r="U40" s="25"/>
      <x:c r="V40" s="25"/>
      <x:c r="W40" s="25"/>
    </x:row>
    <x:row r="41">
      <x:c r="A41" s="25"/>
      <x:c r="B41" s="25"/>
      <x:c r="C41" s="25"/>
      <x:c r="D41" s="25"/>
      <x:c r="E41" s="39"/>
      <x:c r="F41" s="39"/>
      <x:c r="G41" s="30"/>
      <x:c r="H41" s="30"/>
      <x:c r="I41" s="25"/>
      <x:c r="J41" s="42" t="str">
        <x:f>IF(A41="","",E41+I41)</x:f>
      </x:c>
      <x:c r="K41" s="30"/>
      <x:c r="L41" s="30"/>
      <x:c r="M41" s="31" t="str">
        <x:f>IF(A41="","",IF(G41=0,0,K41/G41))</x:f>
      </x:c>
      <x:c r="N41" s="31" t="str">
        <x:f>IF(A41="","",IF(G41=0,0,L41/G41))</x:f>
      </x:c>
      <x:c r="O41" s="30"/>
      <x:c r="P41" s="30"/>
      <x:c r="Q41" s="30"/>
      <x:c r="R41" s="39"/>
      <x:c r="S41" s="39"/>
      <x:c r="T41" s="25"/>
      <x:c r="U41" s="25"/>
      <x:c r="V41" s="25"/>
      <x:c r="W41" s="25"/>
    </x:row>
    <x:row r="42">
      <x:c r="A42" s="25"/>
      <x:c r="B42" s="25"/>
      <x:c r="C42" s="25"/>
      <x:c r="D42" s="25"/>
      <x:c r="E42" s="39"/>
      <x:c r="F42" s="39"/>
      <x:c r="G42" s="30"/>
      <x:c r="H42" s="30"/>
      <x:c r="I42" s="25"/>
      <x:c r="J42" s="42" t="str">
        <x:f>IF(A42="","",E42+I42)</x:f>
      </x:c>
      <x:c r="K42" s="30"/>
      <x:c r="L42" s="30"/>
      <x:c r="M42" s="31" t="str">
        <x:f>IF(A42="","",IF(G42=0,0,K42/G42))</x:f>
      </x:c>
      <x:c r="N42" s="31" t="str">
        <x:f>IF(A42="","",IF(G42=0,0,L42/G42))</x:f>
      </x:c>
      <x:c r="O42" s="30"/>
      <x:c r="P42" s="30"/>
      <x:c r="Q42" s="30"/>
      <x:c r="R42" s="39"/>
      <x:c r="S42" s="39"/>
      <x:c r="T42" s="25"/>
      <x:c r="U42" s="25"/>
      <x:c r="V42" s="25"/>
      <x:c r="W42" s="25"/>
    </x:row>
    <x:row r="43">
      <x:c r="A43" s="25"/>
      <x:c r="B43" s="25"/>
      <x:c r="C43" s="25"/>
      <x:c r="D43" s="25"/>
      <x:c r="E43" s="39"/>
      <x:c r="F43" s="39"/>
      <x:c r="G43" s="30"/>
      <x:c r="H43" s="30"/>
      <x:c r="I43" s="25"/>
      <x:c r="J43" s="42" t="str">
        <x:f>IF(A43="","",E43+I43)</x:f>
      </x:c>
      <x:c r="K43" s="30"/>
      <x:c r="L43" s="30"/>
      <x:c r="M43" s="31" t="str">
        <x:f>IF(A43="","",IF(G43=0,0,K43/G43))</x:f>
      </x:c>
      <x:c r="N43" s="31" t="str">
        <x:f>IF(A43="","",IF(G43=0,0,L43/G43))</x:f>
      </x:c>
      <x:c r="O43" s="30"/>
      <x:c r="P43" s="30"/>
      <x:c r="Q43" s="30"/>
      <x:c r="R43" s="39"/>
      <x:c r="S43" s="39"/>
      <x:c r="T43" s="25"/>
      <x:c r="U43" s="25"/>
      <x:c r="V43" s="25"/>
      <x:c r="W43" s="25"/>
    </x:row>
    <x:row r="44">
      <x:c r="A44" s="25"/>
      <x:c r="B44" s="25"/>
      <x:c r="C44" s="25"/>
      <x:c r="D44" s="25"/>
      <x:c r="E44" s="39"/>
      <x:c r="F44" s="39"/>
      <x:c r="G44" s="30"/>
      <x:c r="H44" s="30"/>
      <x:c r="I44" s="25"/>
      <x:c r="J44" s="42" t="str">
        <x:f>IF(A44="","",E44+I44)</x:f>
      </x:c>
      <x:c r="K44" s="30"/>
      <x:c r="L44" s="30"/>
      <x:c r="M44" s="31" t="str">
        <x:f>IF(A44="","",IF(G44=0,0,K44/G44))</x:f>
      </x:c>
      <x:c r="N44" s="31" t="str">
        <x:f>IF(A44="","",IF(G44=0,0,L44/G44))</x:f>
      </x:c>
      <x:c r="O44" s="30"/>
      <x:c r="P44" s="30"/>
      <x:c r="Q44" s="30"/>
      <x:c r="R44" s="39"/>
      <x:c r="S44" s="39"/>
      <x:c r="T44" s="25"/>
      <x:c r="U44" s="25"/>
      <x:c r="V44" s="25"/>
      <x:c r="W44" s="25"/>
    </x:row>
    <x:row r="45">
      <x:c r="A45" s="25"/>
      <x:c r="B45" s="25"/>
      <x:c r="C45" s="25"/>
      <x:c r="D45" s="25"/>
      <x:c r="E45" s="39"/>
      <x:c r="F45" s="39"/>
      <x:c r="G45" s="30"/>
      <x:c r="H45" s="30"/>
      <x:c r="I45" s="25"/>
      <x:c r="J45" s="42" t="str">
        <x:f>IF(A45="","",E45+I45)</x:f>
      </x:c>
      <x:c r="K45" s="30"/>
      <x:c r="L45" s="30"/>
      <x:c r="M45" s="31" t="str">
        <x:f>IF(A45="","",IF(G45=0,0,K45/G45))</x:f>
      </x:c>
      <x:c r="N45" s="31" t="str">
        <x:f>IF(A45="","",IF(G45=0,0,L45/G45))</x:f>
      </x:c>
      <x:c r="O45" s="30"/>
      <x:c r="P45" s="30"/>
      <x:c r="Q45" s="30"/>
      <x:c r="R45" s="39"/>
      <x:c r="S45" s="39"/>
      <x:c r="T45" s="25"/>
      <x:c r="U45" s="25"/>
      <x:c r="V45" s="25"/>
      <x:c r="W45" s="25"/>
    </x:row>
    <x:row r="46">
      <x:c r="A46" s="25"/>
      <x:c r="B46" s="25"/>
      <x:c r="C46" s="25"/>
      <x:c r="D46" s="25"/>
      <x:c r="E46" s="39"/>
      <x:c r="F46" s="39"/>
      <x:c r="G46" s="30"/>
      <x:c r="H46" s="30"/>
      <x:c r="I46" s="25"/>
      <x:c r="J46" s="42" t="str">
        <x:f>IF(A46="","",E46+I46)</x:f>
      </x:c>
      <x:c r="K46" s="30"/>
      <x:c r="L46" s="30"/>
      <x:c r="M46" s="31" t="str">
        <x:f>IF(A46="","",IF(G46=0,0,K46/G46))</x:f>
      </x:c>
      <x:c r="N46" s="31" t="str">
        <x:f>IF(A46="","",IF(G46=0,0,L46/G46))</x:f>
      </x:c>
      <x:c r="O46" s="30"/>
      <x:c r="P46" s="30"/>
      <x:c r="Q46" s="30"/>
      <x:c r="R46" s="39"/>
      <x:c r="S46" s="39"/>
      <x:c r="T46" s="25"/>
      <x:c r="U46" s="25"/>
      <x:c r="V46" s="25"/>
      <x:c r="W46" s="25"/>
    </x:row>
    <x:row r="47">
      <x:c r="A47" s="25"/>
      <x:c r="B47" s="25"/>
      <x:c r="C47" s="25"/>
      <x:c r="D47" s="25"/>
      <x:c r="E47" s="39"/>
      <x:c r="F47" s="39"/>
      <x:c r="G47" s="30"/>
      <x:c r="H47" s="30"/>
      <x:c r="I47" s="25"/>
      <x:c r="J47" s="42" t="str">
        <x:f>IF(A47="","",E47+I47)</x:f>
      </x:c>
      <x:c r="K47" s="30"/>
      <x:c r="L47" s="30"/>
      <x:c r="M47" s="31" t="str">
        <x:f>IF(A47="","",IF(G47=0,0,K47/G47))</x:f>
      </x:c>
      <x:c r="N47" s="31" t="str">
        <x:f>IF(A47="","",IF(G47=0,0,L47/G47))</x:f>
      </x:c>
      <x:c r="O47" s="30"/>
      <x:c r="P47" s="30"/>
      <x:c r="Q47" s="30"/>
      <x:c r="R47" s="39"/>
      <x:c r="S47" s="39"/>
      <x:c r="T47" s="25"/>
      <x:c r="U47" s="25"/>
      <x:c r="V47" s="25"/>
      <x:c r="W47" s="25"/>
    </x:row>
    <x:row r="48">
      <x:c r="A48" s="25"/>
      <x:c r="B48" s="25"/>
      <x:c r="C48" s="25"/>
      <x:c r="D48" s="25"/>
      <x:c r="E48" s="39"/>
      <x:c r="F48" s="39"/>
      <x:c r="G48" s="30"/>
      <x:c r="H48" s="30"/>
      <x:c r="I48" s="25"/>
      <x:c r="J48" s="42" t="str">
        <x:f>IF(A48="","",E48+I48)</x:f>
      </x:c>
      <x:c r="K48" s="30"/>
      <x:c r="L48" s="30"/>
      <x:c r="M48" s="31" t="str">
        <x:f>IF(A48="","",IF(G48=0,0,K48/G48))</x:f>
      </x:c>
      <x:c r="N48" s="31" t="str">
        <x:f>IF(A48="","",IF(G48=0,0,L48/G48))</x:f>
      </x:c>
      <x:c r="O48" s="30"/>
      <x:c r="P48" s="30"/>
      <x:c r="Q48" s="30"/>
      <x:c r="R48" s="39"/>
      <x:c r="S48" s="39"/>
      <x:c r="T48" s="25"/>
      <x:c r="U48" s="25"/>
      <x:c r="V48" s="25"/>
      <x:c r="W48" s="25"/>
    </x:row>
    <x:row r="49">
      <x:c r="A49" s="25"/>
      <x:c r="B49" s="25"/>
      <x:c r="C49" s="25"/>
      <x:c r="D49" s="25"/>
      <x:c r="E49" s="39"/>
      <x:c r="F49" s="39"/>
      <x:c r="G49" s="30"/>
      <x:c r="H49" s="30"/>
      <x:c r="I49" s="25"/>
      <x:c r="J49" s="42" t="str">
        <x:f>IF(A49="","",E49+I49)</x:f>
      </x:c>
      <x:c r="K49" s="30"/>
      <x:c r="L49" s="30"/>
      <x:c r="M49" s="31" t="str">
        <x:f>IF(A49="","",IF(G49=0,0,K49/G49))</x:f>
      </x:c>
      <x:c r="N49" s="31" t="str">
        <x:f>IF(A49="","",IF(G49=0,0,L49/G49))</x:f>
      </x:c>
      <x:c r="O49" s="30"/>
      <x:c r="P49" s="30"/>
      <x:c r="Q49" s="30"/>
      <x:c r="R49" s="39"/>
      <x:c r="S49" s="39"/>
      <x:c r="T49" s="25"/>
      <x:c r="U49" s="25"/>
      <x:c r="V49" s="25"/>
      <x:c r="W49" s="25"/>
    </x:row>
    <x:row r="50">
      <x:c r="A50" s="25"/>
      <x:c r="B50" s="25"/>
      <x:c r="C50" s="25"/>
      <x:c r="D50" s="25"/>
      <x:c r="E50" s="39"/>
      <x:c r="F50" s="39"/>
      <x:c r="G50" s="30"/>
      <x:c r="H50" s="30"/>
      <x:c r="I50" s="25"/>
      <x:c r="J50" s="42" t="str">
        <x:f>IF(A50="","",E50+I50)</x:f>
      </x:c>
      <x:c r="K50" s="30"/>
      <x:c r="L50" s="30"/>
      <x:c r="M50" s="31" t="str">
        <x:f>IF(A50="","",IF(G50=0,0,K50/G50))</x:f>
      </x:c>
      <x:c r="N50" s="31" t="str">
        <x:f>IF(A50="","",IF(G50=0,0,L50/G50))</x:f>
      </x:c>
      <x:c r="O50" s="30"/>
      <x:c r="P50" s="30"/>
      <x:c r="Q50" s="30"/>
      <x:c r="R50" s="39"/>
      <x:c r="S50" s="39"/>
      <x:c r="T50" s="25"/>
      <x:c r="U50" s="25"/>
      <x:c r="V50" s="25"/>
      <x:c r="W50" s="25"/>
    </x:row>
    <x:row r="51">
      <x:c r="A51" s="25"/>
      <x:c r="B51" s="25"/>
      <x:c r="C51" s="25"/>
      <x:c r="D51" s="25"/>
      <x:c r="E51" s="39"/>
      <x:c r="F51" s="39"/>
      <x:c r="G51" s="30"/>
      <x:c r="H51" s="30"/>
      <x:c r="I51" s="25"/>
      <x:c r="J51" s="42" t="str">
        <x:f>IF(A51="","",E51+I51)</x:f>
      </x:c>
      <x:c r="K51" s="30"/>
      <x:c r="L51" s="30"/>
      <x:c r="M51" s="31" t="str">
        <x:f>IF(A51="","",IF(G51=0,0,K51/G51))</x:f>
      </x:c>
      <x:c r="N51" s="31" t="str">
        <x:f>IF(A51="","",IF(G51=0,0,L51/G51))</x:f>
      </x:c>
      <x:c r="O51" s="30"/>
      <x:c r="P51" s="30"/>
      <x:c r="Q51" s="30"/>
      <x:c r="R51" s="39"/>
      <x:c r="S51" s="39"/>
      <x:c r="T51" s="25"/>
      <x:c r="U51" s="25"/>
      <x:c r="V51" s="25"/>
      <x:c r="W51" s="25"/>
    </x:row>
    <x:row r="52">
      <x:c r="A52" s="25"/>
      <x:c r="B52" s="25"/>
      <x:c r="C52" s="25"/>
      <x:c r="D52" s="25"/>
      <x:c r="E52" s="39"/>
      <x:c r="F52" s="39"/>
      <x:c r="G52" s="30"/>
      <x:c r="H52" s="30"/>
      <x:c r="I52" s="25"/>
      <x:c r="J52" s="42" t="str">
        <x:f>IF(A52="","",E52+I52)</x:f>
      </x:c>
      <x:c r="K52" s="30"/>
      <x:c r="L52" s="30"/>
      <x:c r="M52" s="31" t="str">
        <x:f>IF(A52="","",IF(G52=0,0,K52/G52))</x:f>
      </x:c>
      <x:c r="N52" s="31" t="str">
        <x:f>IF(A52="","",IF(G52=0,0,L52/G52))</x:f>
      </x:c>
      <x:c r="O52" s="30"/>
      <x:c r="P52" s="30"/>
      <x:c r="Q52" s="30"/>
      <x:c r="R52" s="39"/>
      <x:c r="S52" s="39"/>
      <x:c r="T52" s="25"/>
      <x:c r="U52" s="25"/>
      <x:c r="V52" s="25"/>
      <x:c r="W52" s="25"/>
    </x:row>
    <x:row r="53">
      <x:c r="A53" s="25"/>
      <x:c r="B53" s="25"/>
      <x:c r="C53" s="25"/>
      <x:c r="D53" s="25"/>
      <x:c r="E53" s="39"/>
      <x:c r="F53" s="39"/>
      <x:c r="G53" s="30"/>
      <x:c r="H53" s="30"/>
      <x:c r="I53" s="25"/>
      <x:c r="J53" s="42" t="str">
        <x:f>IF(A53="","",E53+I53)</x:f>
      </x:c>
      <x:c r="K53" s="30"/>
      <x:c r="L53" s="30"/>
      <x:c r="M53" s="31" t="str">
        <x:f>IF(A53="","",IF(G53=0,0,K53/G53))</x:f>
      </x:c>
      <x:c r="N53" s="31" t="str">
        <x:f>IF(A53="","",IF(G53=0,0,L53/G53))</x:f>
      </x:c>
      <x:c r="O53" s="30"/>
      <x:c r="P53" s="30"/>
      <x:c r="Q53" s="30"/>
      <x:c r="R53" s="39"/>
      <x:c r="S53" s="39"/>
      <x:c r="T53" s="25"/>
      <x:c r="U53" s="25"/>
      <x:c r="V53" s="25"/>
      <x:c r="W53" s="25"/>
    </x:row>
    <x:row r="54">
      <x:c r="A54" s="25"/>
      <x:c r="B54" s="25"/>
      <x:c r="C54" s="25"/>
      <x:c r="D54" s="25"/>
      <x:c r="E54" s="39"/>
      <x:c r="F54" s="39"/>
      <x:c r="G54" s="30"/>
      <x:c r="H54" s="30"/>
      <x:c r="I54" s="25"/>
      <x:c r="J54" s="42" t="str">
        <x:f>IF(A54="","",E54+I54)</x:f>
      </x:c>
      <x:c r="K54" s="30"/>
      <x:c r="L54" s="30"/>
      <x:c r="M54" s="31" t="str">
        <x:f>IF(A54="","",IF(G54=0,0,K54/G54))</x:f>
      </x:c>
      <x:c r="N54" s="31" t="str">
        <x:f>IF(A54="","",IF(G54=0,0,L54/G54))</x:f>
      </x:c>
      <x:c r="O54" s="30"/>
      <x:c r="P54" s="30"/>
      <x:c r="Q54" s="30"/>
      <x:c r="R54" s="39"/>
      <x:c r="S54" s="39"/>
      <x:c r="T54" s="25"/>
      <x:c r="U54" s="25"/>
      <x:c r="V54" s="25"/>
      <x:c r="W54" s="25"/>
    </x:row>
    <x:row r="55">
      <x:c r="A55" s="25"/>
      <x:c r="B55" s="25"/>
      <x:c r="C55" s="25"/>
      <x:c r="D55" s="25"/>
      <x:c r="E55" s="39"/>
      <x:c r="F55" s="39"/>
      <x:c r="G55" s="30"/>
      <x:c r="H55" s="30"/>
      <x:c r="I55" s="25"/>
      <x:c r="J55" s="42" t="str">
        <x:f>IF(A55="","",E55+I55)</x:f>
      </x:c>
      <x:c r="K55" s="30"/>
      <x:c r="L55" s="30"/>
      <x:c r="M55" s="31" t="str">
        <x:f>IF(A55="","",IF(G55=0,0,K55/G55))</x:f>
      </x:c>
      <x:c r="N55" s="31" t="str">
        <x:f>IF(A55="","",IF(G55=0,0,L55/G55))</x:f>
      </x:c>
      <x:c r="O55" s="30"/>
      <x:c r="P55" s="30"/>
      <x:c r="Q55" s="30"/>
      <x:c r="R55" s="39"/>
      <x:c r="S55" s="39"/>
      <x:c r="T55" s="25"/>
      <x:c r="U55" s="25"/>
      <x:c r="V55" s="25"/>
      <x:c r="W55" s="25"/>
    </x:row>
    <x:row r="56">
      <x:c r="A56" s="25"/>
      <x:c r="B56" s="25"/>
      <x:c r="C56" s="25"/>
      <x:c r="D56" s="25"/>
      <x:c r="E56" s="39"/>
      <x:c r="F56" s="39"/>
      <x:c r="G56" s="30"/>
      <x:c r="H56" s="30"/>
      <x:c r="I56" s="25"/>
      <x:c r="J56" s="42" t="str">
        <x:f>IF(A56="","",E56+I56)</x:f>
      </x:c>
      <x:c r="K56" s="30"/>
      <x:c r="L56" s="30"/>
      <x:c r="M56" s="31" t="str">
        <x:f>IF(A56="","",IF(G56=0,0,K56/G56))</x:f>
      </x:c>
      <x:c r="N56" s="31" t="str">
        <x:f>IF(A56="","",IF(G56=0,0,L56/G56))</x:f>
      </x:c>
      <x:c r="O56" s="30"/>
      <x:c r="P56" s="30"/>
      <x:c r="Q56" s="30"/>
      <x:c r="R56" s="39"/>
      <x:c r="S56" s="39"/>
      <x:c r="T56" s="25"/>
      <x:c r="U56" s="25"/>
      <x:c r="V56" s="25"/>
      <x:c r="W56" s="25"/>
    </x:row>
    <x:row r="57">
      <x:c r="A57" s="25"/>
      <x:c r="B57" s="25"/>
      <x:c r="C57" s="25"/>
      <x:c r="D57" s="25"/>
      <x:c r="E57" s="39"/>
      <x:c r="F57" s="39"/>
      <x:c r="G57" s="30"/>
      <x:c r="H57" s="30"/>
      <x:c r="I57" s="25"/>
      <x:c r="J57" s="42" t="str">
        <x:f>IF(A57="","",E57+I57)</x:f>
      </x:c>
      <x:c r="K57" s="30"/>
      <x:c r="L57" s="30"/>
      <x:c r="M57" s="31" t="str">
        <x:f>IF(A57="","",IF(G57=0,0,K57/G57))</x:f>
      </x:c>
      <x:c r="N57" s="31" t="str">
        <x:f>IF(A57="","",IF(G57=0,0,L57/G57))</x:f>
      </x:c>
      <x:c r="O57" s="30"/>
      <x:c r="P57" s="30"/>
      <x:c r="Q57" s="30"/>
      <x:c r="R57" s="39"/>
      <x:c r="S57" s="39"/>
      <x:c r="T57" s="25"/>
      <x:c r="U57" s="25"/>
      <x:c r="V57" s="25"/>
      <x:c r="W57" s="25"/>
    </x:row>
    <x:row r="58">
      <x:c r="A58" s="25"/>
      <x:c r="B58" s="25"/>
      <x:c r="C58" s="25"/>
      <x:c r="D58" s="25"/>
      <x:c r="E58" s="39"/>
      <x:c r="F58" s="39"/>
      <x:c r="G58" s="30"/>
      <x:c r="H58" s="30"/>
      <x:c r="I58" s="25"/>
      <x:c r="J58" s="42" t="str">
        <x:f>IF(A58="","",E58+I58)</x:f>
      </x:c>
      <x:c r="K58" s="30"/>
      <x:c r="L58" s="30"/>
      <x:c r="M58" s="31" t="str">
        <x:f>IF(A58="","",IF(G58=0,0,K58/G58))</x:f>
      </x:c>
      <x:c r="N58" s="31" t="str">
        <x:f>IF(A58="","",IF(G58=0,0,L58/G58))</x:f>
      </x:c>
      <x:c r="O58" s="30"/>
      <x:c r="P58" s="30"/>
      <x:c r="Q58" s="30"/>
      <x:c r="R58" s="39"/>
      <x:c r="S58" s="39"/>
      <x:c r="T58" s="25"/>
      <x:c r="U58" s="25"/>
      <x:c r="V58" s="25"/>
      <x:c r="W58" s="25"/>
    </x:row>
    <x:row r="59">
      <x:c r="A59" s="25"/>
      <x:c r="B59" s="25"/>
      <x:c r="C59" s="25"/>
      <x:c r="D59" s="25"/>
      <x:c r="E59" s="39"/>
      <x:c r="F59" s="39"/>
      <x:c r="G59" s="30"/>
      <x:c r="H59" s="30"/>
      <x:c r="I59" s="25"/>
      <x:c r="J59" s="42" t="str">
        <x:f>IF(A59="","",E59+I59)</x:f>
      </x:c>
      <x:c r="K59" s="30"/>
      <x:c r="L59" s="30"/>
      <x:c r="M59" s="31" t="str">
        <x:f>IF(A59="","",IF(G59=0,0,K59/G59))</x:f>
      </x:c>
      <x:c r="N59" s="31" t="str">
        <x:f>IF(A59="","",IF(G59=0,0,L59/G59))</x:f>
      </x:c>
      <x:c r="O59" s="30"/>
      <x:c r="P59" s="30"/>
      <x:c r="Q59" s="30"/>
      <x:c r="R59" s="39"/>
      <x:c r="S59" s="39"/>
      <x:c r="T59" s="25"/>
      <x:c r="U59" s="25"/>
      <x:c r="V59" s="25"/>
      <x:c r="W59" s="25"/>
    </x:row>
    <x:row r="60">
      <x:c r="A60" s="25"/>
      <x:c r="B60" s="25"/>
      <x:c r="C60" s="25"/>
      <x:c r="D60" s="25"/>
      <x:c r="E60" s="39"/>
      <x:c r="F60" s="39"/>
      <x:c r="G60" s="30"/>
      <x:c r="H60" s="30"/>
      <x:c r="I60" s="25"/>
      <x:c r="J60" s="42" t="str">
        <x:f>IF(A60="","",E60+I60)</x:f>
      </x:c>
      <x:c r="K60" s="30"/>
      <x:c r="L60" s="30"/>
      <x:c r="M60" s="31" t="str">
        <x:f>IF(A60="","",IF(G60=0,0,K60/G60))</x:f>
      </x:c>
      <x:c r="N60" s="31" t="str">
        <x:f>IF(A60="","",IF(G60=0,0,L60/G60))</x:f>
      </x:c>
      <x:c r="O60" s="30"/>
      <x:c r="P60" s="30"/>
      <x:c r="Q60" s="30"/>
      <x:c r="R60" s="39"/>
      <x:c r="S60" s="39"/>
      <x:c r="T60" s="25"/>
      <x:c r="U60" s="25"/>
      <x:c r="V60" s="25"/>
      <x:c r="W60" s="25"/>
    </x:row>
    <x:row r="61">
      <x:c r="A61" s="25"/>
      <x:c r="B61" s="25"/>
      <x:c r="C61" s="25"/>
      <x:c r="D61" s="25"/>
      <x:c r="E61" s="39"/>
      <x:c r="F61" s="39"/>
      <x:c r="G61" s="30"/>
      <x:c r="H61" s="30"/>
      <x:c r="I61" s="25"/>
      <x:c r="J61" s="42" t="str">
        <x:f>IF(A61="","",E61+I61)</x:f>
      </x:c>
      <x:c r="K61" s="30"/>
      <x:c r="L61" s="30"/>
      <x:c r="M61" s="31" t="str">
        <x:f>IF(A61="","",IF(G61=0,0,K61/G61))</x:f>
      </x:c>
      <x:c r="N61" s="31" t="str">
        <x:f>IF(A61="","",IF(G61=0,0,L61/G61))</x:f>
      </x:c>
      <x:c r="O61" s="30"/>
      <x:c r="P61" s="30"/>
      <x:c r="Q61" s="30"/>
      <x:c r="R61" s="39"/>
      <x:c r="S61" s="39"/>
      <x:c r="T61" s="25"/>
      <x:c r="U61" s="25"/>
      <x:c r="V61" s="25"/>
      <x:c r="W61" s="25"/>
    </x:row>
    <x:row r="62">
      <x:c r="A62" s="25"/>
      <x:c r="B62" s="25"/>
      <x:c r="C62" s="25"/>
      <x:c r="D62" s="25"/>
      <x:c r="E62" s="39"/>
      <x:c r="F62" s="39"/>
      <x:c r="G62" s="30"/>
      <x:c r="H62" s="30"/>
      <x:c r="I62" s="25"/>
      <x:c r="J62" s="42" t="str">
        <x:f>IF(A62="","",E62+I62)</x:f>
      </x:c>
      <x:c r="K62" s="30"/>
      <x:c r="L62" s="30"/>
      <x:c r="M62" s="31" t="str">
        <x:f>IF(A62="","",IF(G62=0,0,K62/G62))</x:f>
      </x:c>
      <x:c r="N62" s="31" t="str">
        <x:f>IF(A62="","",IF(G62=0,0,L62/G62))</x:f>
      </x:c>
      <x:c r="O62" s="30"/>
      <x:c r="P62" s="30"/>
      <x:c r="Q62" s="30"/>
      <x:c r="R62" s="39"/>
      <x:c r="S62" s="39"/>
      <x:c r="T62" s="25"/>
      <x:c r="U62" s="25"/>
      <x:c r="V62" s="25"/>
      <x:c r="W62" s="25"/>
    </x:row>
    <x:row r="63">
      <x:c r="A63" s="25"/>
      <x:c r="B63" s="25"/>
      <x:c r="C63" s="25"/>
      <x:c r="D63" s="25"/>
      <x:c r="E63" s="39"/>
      <x:c r="F63" s="39"/>
      <x:c r="G63" s="30"/>
      <x:c r="H63" s="30"/>
      <x:c r="I63" s="25"/>
      <x:c r="J63" s="42" t="str">
        <x:f>IF(A63="","",E63+I63)</x:f>
      </x:c>
      <x:c r="K63" s="30"/>
      <x:c r="L63" s="30"/>
      <x:c r="M63" s="31" t="str">
        <x:f>IF(A63="","",IF(G63=0,0,K63/G63))</x:f>
      </x:c>
      <x:c r="N63" s="31" t="str">
        <x:f>IF(A63="","",IF(G63=0,0,L63/G63))</x:f>
      </x:c>
      <x:c r="O63" s="30"/>
      <x:c r="P63" s="30"/>
      <x:c r="Q63" s="30"/>
      <x:c r="R63" s="39"/>
      <x:c r="S63" s="39"/>
      <x:c r="T63" s="25"/>
      <x:c r="U63" s="25"/>
      <x:c r="V63" s="25"/>
      <x:c r="W63" s="25"/>
    </x:row>
    <x:row r="64">
      <x:c r="A64" s="25"/>
      <x:c r="B64" s="25"/>
      <x:c r="C64" s="25"/>
      <x:c r="D64" s="25"/>
      <x:c r="E64" s="39"/>
      <x:c r="F64" s="39"/>
      <x:c r="G64" s="30"/>
      <x:c r="H64" s="30"/>
      <x:c r="I64" s="25"/>
      <x:c r="J64" s="42" t="str">
        <x:f>IF(A64="","",E64+I64)</x:f>
      </x:c>
      <x:c r="K64" s="30"/>
      <x:c r="L64" s="30"/>
      <x:c r="M64" s="31" t="str">
        <x:f>IF(A64="","",IF(G64=0,0,K64/G64))</x:f>
      </x:c>
      <x:c r="N64" s="31" t="str">
        <x:f>IF(A64="","",IF(G64=0,0,L64/G64))</x:f>
      </x:c>
      <x:c r="O64" s="30"/>
      <x:c r="P64" s="30"/>
      <x:c r="Q64" s="30"/>
      <x:c r="R64" s="39"/>
      <x:c r="S64" s="39"/>
      <x:c r="T64" s="25"/>
      <x:c r="U64" s="25"/>
      <x:c r="V64" s="25"/>
      <x:c r="W64" s="25"/>
    </x:row>
    <x:row r="65">
      <x:c r="A65" s="25"/>
      <x:c r="B65" s="25"/>
      <x:c r="C65" s="25"/>
      <x:c r="D65" s="25"/>
      <x:c r="E65" s="39"/>
      <x:c r="F65" s="39"/>
      <x:c r="G65" s="30"/>
      <x:c r="H65" s="30"/>
      <x:c r="I65" s="25"/>
      <x:c r="J65" s="42" t="str">
        <x:f>IF(A65="","",E65+I65)</x:f>
      </x:c>
      <x:c r="K65" s="30"/>
      <x:c r="L65" s="30"/>
      <x:c r="M65" s="31" t="str">
        <x:f>IF(A65="","",IF(G65=0,0,K65/G65))</x:f>
      </x:c>
      <x:c r="N65" s="31" t="str">
        <x:f>IF(A65="","",IF(G65=0,0,L65/G65))</x:f>
      </x:c>
      <x:c r="O65" s="30"/>
      <x:c r="P65" s="30"/>
      <x:c r="Q65" s="30"/>
      <x:c r="R65" s="39"/>
      <x:c r="S65" s="39"/>
      <x:c r="T65" s="25"/>
      <x:c r="U65" s="25"/>
      <x:c r="V65" s="25"/>
      <x:c r="W65" s="25"/>
    </x:row>
    <x:row r="66">
      <x:c r="A66" s="25"/>
      <x:c r="B66" s="25"/>
      <x:c r="C66" s="25"/>
      <x:c r="D66" s="25"/>
      <x:c r="E66" s="39"/>
      <x:c r="F66" s="39"/>
      <x:c r="G66" s="30"/>
      <x:c r="H66" s="30"/>
      <x:c r="I66" s="25"/>
      <x:c r="J66" s="42" t="str">
        <x:f>IF(A66="","",E66+I66)</x:f>
      </x:c>
      <x:c r="K66" s="30"/>
      <x:c r="L66" s="30"/>
      <x:c r="M66" s="31" t="str">
        <x:f>IF(A66="","",IF(G66=0,0,K66/G66))</x:f>
      </x:c>
      <x:c r="N66" s="31" t="str">
        <x:f>IF(A66="","",IF(G66=0,0,L66/G66))</x:f>
      </x:c>
      <x:c r="O66" s="30"/>
      <x:c r="P66" s="30"/>
      <x:c r="Q66" s="30"/>
      <x:c r="R66" s="39"/>
      <x:c r="S66" s="39"/>
      <x:c r="T66" s="25"/>
      <x:c r="U66" s="25"/>
      <x:c r="V66" s="25"/>
      <x:c r="W66" s="25"/>
    </x:row>
    <x:row r="67">
      <x:c r="A67" s="25"/>
      <x:c r="B67" s="25"/>
      <x:c r="C67" s="25"/>
      <x:c r="D67" s="25"/>
      <x:c r="E67" s="39"/>
      <x:c r="F67" s="39"/>
      <x:c r="G67" s="30"/>
      <x:c r="H67" s="30"/>
      <x:c r="I67" s="25"/>
      <x:c r="J67" s="42" t="str">
        <x:f>IF(A67="","",E67+I67)</x:f>
      </x:c>
      <x:c r="K67" s="30"/>
      <x:c r="L67" s="30"/>
      <x:c r="M67" s="31" t="str">
        <x:f>IF(A67="","",IF(G67=0,0,K67/G67))</x:f>
      </x:c>
      <x:c r="N67" s="31" t="str">
        <x:f>IF(A67="","",IF(G67=0,0,L67/G67))</x:f>
      </x:c>
      <x:c r="O67" s="30"/>
      <x:c r="P67" s="30"/>
      <x:c r="Q67" s="30"/>
      <x:c r="R67" s="39"/>
      <x:c r="S67" s="39"/>
      <x:c r="T67" s="25"/>
      <x:c r="U67" s="25"/>
      <x:c r="V67" s="25"/>
      <x:c r="W67" s="25"/>
    </x:row>
    <x:row r="68">
      <x:c r="A68" s="25"/>
      <x:c r="B68" s="25"/>
      <x:c r="C68" s="25"/>
      <x:c r="D68" s="25"/>
      <x:c r="E68" s="39"/>
      <x:c r="F68" s="39"/>
      <x:c r="G68" s="30"/>
      <x:c r="H68" s="30"/>
      <x:c r="I68" s="25"/>
      <x:c r="J68" s="42" t="str">
        <x:f>IF(A68="","",E68+I68)</x:f>
      </x:c>
      <x:c r="K68" s="30"/>
      <x:c r="L68" s="30"/>
      <x:c r="M68" s="31" t="str">
        <x:f>IF(A68="","",IF(G68=0,0,K68/G68))</x:f>
      </x:c>
      <x:c r="N68" s="31" t="str">
        <x:f>IF(A68="","",IF(G68=0,0,L68/G68))</x:f>
      </x:c>
      <x:c r="O68" s="30"/>
      <x:c r="P68" s="30"/>
      <x:c r="Q68" s="30"/>
      <x:c r="R68" s="39"/>
      <x:c r="S68" s="39"/>
      <x:c r="T68" s="25"/>
      <x:c r="U68" s="25"/>
      <x:c r="V68" s="25"/>
      <x:c r="W68" s="25"/>
    </x:row>
    <x:row r="69">
      <x:c r="A69" s="25"/>
      <x:c r="B69" s="25"/>
      <x:c r="C69" s="25"/>
      <x:c r="D69" s="25"/>
      <x:c r="E69" s="39"/>
      <x:c r="F69" s="39"/>
      <x:c r="G69" s="30"/>
      <x:c r="H69" s="30"/>
      <x:c r="I69" s="25"/>
      <x:c r="J69" s="42" t="str">
        <x:f>IF(A69="","",E69+I69)</x:f>
      </x:c>
      <x:c r="K69" s="30"/>
      <x:c r="L69" s="30"/>
      <x:c r="M69" s="31" t="str">
        <x:f>IF(A69="","",IF(G69=0,0,K69/G69))</x:f>
      </x:c>
      <x:c r="N69" s="31" t="str">
        <x:f>IF(A69="","",IF(G69=0,0,L69/G69))</x:f>
      </x:c>
      <x:c r="O69" s="30"/>
      <x:c r="P69" s="30"/>
      <x:c r="Q69" s="30"/>
      <x:c r="R69" s="39"/>
      <x:c r="S69" s="39"/>
      <x:c r="T69" s="25"/>
      <x:c r="U69" s="25"/>
      <x:c r="V69" s="25"/>
      <x:c r="W69" s="25"/>
    </x:row>
    <x:row r="70">
      <x:c r="A70" s="25"/>
      <x:c r="B70" s="25"/>
      <x:c r="C70" s="25"/>
      <x:c r="D70" s="25"/>
      <x:c r="E70" s="39"/>
      <x:c r="F70" s="39"/>
      <x:c r="G70" s="30"/>
      <x:c r="H70" s="30"/>
      <x:c r="I70" s="25"/>
      <x:c r="J70" s="42" t="str">
        <x:f>IF(A70="","",E70+I70)</x:f>
      </x:c>
      <x:c r="K70" s="30"/>
      <x:c r="L70" s="30"/>
      <x:c r="M70" s="31" t="str">
        <x:f>IF(A70="","",IF(G70=0,0,K70/G70))</x:f>
      </x:c>
      <x:c r="N70" s="31" t="str">
        <x:f>IF(A70="","",IF(G70=0,0,L70/G70))</x:f>
      </x:c>
      <x:c r="O70" s="30"/>
      <x:c r="P70" s="30"/>
      <x:c r="Q70" s="30"/>
      <x:c r="R70" s="39"/>
      <x:c r="S70" s="39"/>
      <x:c r="T70" s="25"/>
      <x:c r="U70" s="25"/>
      <x:c r="V70" s="25"/>
      <x:c r="W70" s="25"/>
    </x:row>
    <x:row r="71">
      <x:c r="A71" s="25"/>
      <x:c r="B71" s="25"/>
      <x:c r="C71" s="25"/>
      <x:c r="D71" s="25"/>
      <x:c r="E71" s="39"/>
      <x:c r="F71" s="39"/>
      <x:c r="G71" s="30"/>
      <x:c r="H71" s="30"/>
      <x:c r="I71" s="25"/>
      <x:c r="J71" s="42" t="str">
        <x:f>IF(A71="","",E71+I71)</x:f>
      </x:c>
      <x:c r="K71" s="30"/>
      <x:c r="L71" s="30"/>
      <x:c r="M71" s="31" t="str">
        <x:f>IF(A71="","",IF(G71=0,0,K71/G71))</x:f>
      </x:c>
      <x:c r="N71" s="31" t="str">
        <x:f>IF(A71="","",IF(G71=0,0,L71/G71))</x:f>
      </x:c>
      <x:c r="O71" s="30"/>
      <x:c r="P71" s="30"/>
      <x:c r="Q71" s="30"/>
      <x:c r="R71" s="39"/>
      <x:c r="S71" s="39"/>
      <x:c r="T71" s="25"/>
      <x:c r="U71" s="25"/>
      <x:c r="V71" s="25"/>
      <x:c r="W71" s="25"/>
    </x:row>
    <x:row r="72">
      <x:c r="A72" s="25"/>
      <x:c r="B72" s="25"/>
      <x:c r="C72" s="25"/>
      <x:c r="D72" s="25"/>
      <x:c r="E72" s="39"/>
      <x:c r="F72" s="39"/>
      <x:c r="G72" s="30"/>
      <x:c r="H72" s="30"/>
      <x:c r="I72" s="25"/>
      <x:c r="J72" s="42" t="str">
        <x:f>IF(A72="","",E72+I72)</x:f>
      </x:c>
      <x:c r="K72" s="30"/>
      <x:c r="L72" s="30"/>
      <x:c r="M72" s="31" t="str">
        <x:f>IF(A72="","",IF(G72=0,0,K72/G72))</x:f>
      </x:c>
      <x:c r="N72" s="31" t="str">
        <x:f>IF(A72="","",IF(G72=0,0,L72/G72))</x:f>
      </x:c>
      <x:c r="O72" s="30"/>
      <x:c r="P72" s="30"/>
      <x:c r="Q72" s="30"/>
      <x:c r="R72" s="39"/>
      <x:c r="S72" s="39"/>
      <x:c r="T72" s="25"/>
      <x:c r="U72" s="25"/>
      <x:c r="V72" s="25"/>
      <x:c r="W72" s="25"/>
    </x:row>
    <x:row r="73">
      <x:c r="A73" s="25"/>
      <x:c r="B73" s="25"/>
      <x:c r="C73" s="25"/>
      <x:c r="D73" s="25"/>
      <x:c r="E73" s="39"/>
      <x:c r="F73" s="39"/>
      <x:c r="G73" s="30"/>
      <x:c r="H73" s="30"/>
      <x:c r="I73" s="25"/>
      <x:c r="J73" s="42" t="str">
        <x:f>IF(A73="","",E73+I73)</x:f>
      </x:c>
      <x:c r="K73" s="30"/>
      <x:c r="L73" s="30"/>
      <x:c r="M73" s="31" t="str">
        <x:f>IF(A73="","",IF(G73=0,0,K73/G73))</x:f>
      </x:c>
      <x:c r="N73" s="31" t="str">
        <x:f>IF(A73="","",IF(G73=0,0,L73/G73))</x:f>
      </x:c>
      <x:c r="O73" s="30"/>
      <x:c r="P73" s="30"/>
      <x:c r="Q73" s="30"/>
      <x:c r="R73" s="39"/>
      <x:c r="S73" s="39"/>
      <x:c r="T73" s="25"/>
      <x:c r="U73" s="25"/>
      <x:c r="V73" s="25"/>
      <x:c r="W73" s="25"/>
    </x:row>
    <x:row r="74">
      <x:c r="A74" s="25"/>
      <x:c r="B74" s="25"/>
      <x:c r="C74" s="25"/>
      <x:c r="D74" s="25"/>
      <x:c r="E74" s="39"/>
      <x:c r="F74" s="39"/>
      <x:c r="G74" s="30"/>
      <x:c r="H74" s="30"/>
      <x:c r="I74" s="25"/>
      <x:c r="J74" s="42" t="str">
        <x:f>IF(A74="","",E74+I74)</x:f>
      </x:c>
      <x:c r="K74" s="30"/>
      <x:c r="L74" s="30"/>
      <x:c r="M74" s="31" t="str">
        <x:f>IF(A74="","",IF(G74=0,0,K74/G74))</x:f>
      </x:c>
      <x:c r="N74" s="31" t="str">
        <x:f>IF(A74="","",IF(G74=0,0,L74/G74))</x:f>
      </x:c>
      <x:c r="O74" s="30"/>
      <x:c r="P74" s="30"/>
      <x:c r="Q74" s="30"/>
      <x:c r="R74" s="39"/>
      <x:c r="S74" s="39"/>
      <x:c r="T74" s="25"/>
      <x:c r="U74" s="25"/>
      <x:c r="V74" s="25"/>
      <x:c r="W74" s="25"/>
    </x:row>
    <x:row r="75">
      <x:c r="A75" s="25"/>
      <x:c r="B75" s="25"/>
      <x:c r="C75" s="25"/>
      <x:c r="D75" s="25"/>
      <x:c r="E75" s="39"/>
      <x:c r="F75" s="39"/>
      <x:c r="G75" s="30"/>
      <x:c r="H75" s="30"/>
      <x:c r="I75" s="25"/>
      <x:c r="J75" s="42" t="str">
        <x:f>IF(A75="","",E75+I75)</x:f>
      </x:c>
      <x:c r="K75" s="30"/>
      <x:c r="L75" s="30"/>
      <x:c r="M75" s="31" t="str">
        <x:f>IF(A75="","",IF(G75=0,0,K75/G75))</x:f>
      </x:c>
      <x:c r="N75" s="31" t="str">
        <x:f>IF(A75="","",IF(G75=0,0,L75/G75))</x:f>
      </x:c>
      <x:c r="O75" s="30"/>
      <x:c r="P75" s="30"/>
      <x:c r="Q75" s="30"/>
      <x:c r="R75" s="39"/>
      <x:c r="S75" s="39"/>
      <x:c r="T75" s="25"/>
      <x:c r="U75" s="25"/>
      <x:c r="V75" s="25"/>
      <x:c r="W75" s="25"/>
    </x:row>
    <x:row r="76">
      <x:c r="A76" s="25"/>
      <x:c r="B76" s="25"/>
      <x:c r="C76" s="25"/>
      <x:c r="D76" s="25"/>
      <x:c r="E76" s="39"/>
      <x:c r="F76" s="39"/>
      <x:c r="G76" s="30"/>
      <x:c r="H76" s="30"/>
      <x:c r="I76" s="25"/>
      <x:c r="J76" s="42" t="str">
        <x:f>IF(A76="","",E76+I76)</x:f>
      </x:c>
      <x:c r="K76" s="30"/>
      <x:c r="L76" s="30"/>
      <x:c r="M76" s="31" t="str">
        <x:f>IF(A76="","",IF(G76=0,0,K76/G76))</x:f>
      </x:c>
      <x:c r="N76" s="31" t="str">
        <x:f>IF(A76="","",IF(G76=0,0,L76/G76))</x:f>
      </x:c>
      <x:c r="O76" s="30"/>
      <x:c r="P76" s="30"/>
      <x:c r="Q76" s="30"/>
      <x:c r="R76" s="39"/>
      <x:c r="S76" s="39"/>
      <x:c r="T76" s="25"/>
      <x:c r="U76" s="25"/>
      <x:c r="V76" s="25"/>
      <x:c r="W76" s="25"/>
    </x:row>
    <x:row r="77">
      <x:c r="A77" s="25"/>
      <x:c r="B77" s="25"/>
      <x:c r="C77" s="25"/>
      <x:c r="D77" s="25"/>
      <x:c r="E77" s="39"/>
      <x:c r="F77" s="39"/>
      <x:c r="G77" s="30"/>
      <x:c r="H77" s="30"/>
      <x:c r="I77" s="25"/>
      <x:c r="J77" s="42" t="str">
        <x:f>IF(A77="","",E77+I77)</x:f>
      </x:c>
      <x:c r="K77" s="30"/>
      <x:c r="L77" s="30"/>
      <x:c r="M77" s="31" t="str">
        <x:f>IF(A77="","",IF(G77=0,0,K77/G77))</x:f>
      </x:c>
      <x:c r="N77" s="31" t="str">
        <x:f>IF(A77="","",IF(G77=0,0,L77/G77))</x:f>
      </x:c>
      <x:c r="O77" s="30"/>
      <x:c r="P77" s="30"/>
      <x:c r="Q77" s="30"/>
      <x:c r="R77" s="39"/>
      <x:c r="S77" s="39"/>
      <x:c r="T77" s="25"/>
      <x:c r="U77" s="25"/>
      <x:c r="V77" s="25"/>
      <x:c r="W77" s="25"/>
    </x:row>
    <x:row r="78">
      <x:c r="A78" s="25"/>
      <x:c r="B78" s="25"/>
      <x:c r="C78" s="25"/>
      <x:c r="D78" s="25"/>
      <x:c r="E78" s="39"/>
      <x:c r="F78" s="39"/>
      <x:c r="G78" s="30"/>
      <x:c r="H78" s="30"/>
      <x:c r="I78" s="25"/>
      <x:c r="J78" s="42" t="str">
        <x:f>IF(A78="","",E78+I78)</x:f>
      </x:c>
      <x:c r="K78" s="30"/>
      <x:c r="L78" s="30"/>
      <x:c r="M78" s="31" t="str">
        <x:f>IF(A78="","",IF(G78=0,0,K78/G78))</x:f>
      </x:c>
      <x:c r="N78" s="31" t="str">
        <x:f>IF(A78="","",IF(G78=0,0,L78/G78))</x:f>
      </x:c>
      <x:c r="O78" s="30"/>
      <x:c r="P78" s="30"/>
      <x:c r="Q78" s="30"/>
      <x:c r="R78" s="39"/>
      <x:c r="S78" s="39"/>
      <x:c r="T78" s="25"/>
      <x:c r="U78" s="25"/>
      <x:c r="V78" s="25"/>
      <x:c r="W78" s="25"/>
    </x:row>
    <x:row r="79">
      <x:c r="A79" s="25"/>
      <x:c r="B79" s="25"/>
      <x:c r="C79" s="25"/>
      <x:c r="D79" s="25"/>
      <x:c r="E79" s="39"/>
      <x:c r="F79" s="39"/>
      <x:c r="G79" s="30"/>
      <x:c r="H79" s="30"/>
      <x:c r="I79" s="25"/>
      <x:c r="J79" s="42" t="str">
        <x:f>IF(A79="","",E79+I79)</x:f>
      </x:c>
      <x:c r="K79" s="30"/>
      <x:c r="L79" s="30"/>
      <x:c r="M79" s="31" t="str">
        <x:f>IF(A79="","",IF(G79=0,0,K79/G79))</x:f>
      </x:c>
      <x:c r="N79" s="31" t="str">
        <x:f>IF(A79="","",IF(G79=0,0,L79/G79))</x:f>
      </x:c>
      <x:c r="O79" s="30"/>
      <x:c r="P79" s="30"/>
      <x:c r="Q79" s="30"/>
      <x:c r="R79" s="39"/>
      <x:c r="S79" s="39"/>
      <x:c r="T79" s="25"/>
      <x:c r="U79" s="25"/>
      <x:c r="V79" s="25"/>
      <x:c r="W79" s="25"/>
    </x:row>
    <x:row r="80">
      <x:c r="A80" s="25"/>
      <x:c r="B80" s="25"/>
      <x:c r="C80" s="25"/>
      <x:c r="D80" s="25"/>
      <x:c r="E80" s="39"/>
      <x:c r="F80" s="39"/>
      <x:c r="G80" s="30"/>
      <x:c r="H80" s="30"/>
      <x:c r="I80" s="25"/>
      <x:c r="J80" s="42" t="str">
        <x:f>IF(A80="","",E80+I80)</x:f>
      </x:c>
      <x:c r="K80" s="30"/>
      <x:c r="L80" s="30"/>
      <x:c r="M80" s="31" t="str">
        <x:f>IF(A80="","",IF(G80=0,0,K80/G80))</x:f>
      </x:c>
      <x:c r="N80" s="31" t="str">
        <x:f>IF(A80="","",IF(G80=0,0,L80/G80))</x:f>
      </x:c>
      <x:c r="O80" s="30"/>
      <x:c r="P80" s="30"/>
      <x:c r="Q80" s="30"/>
      <x:c r="R80" s="39"/>
      <x:c r="S80" s="39"/>
      <x:c r="T80" s="25"/>
      <x:c r="U80" s="25"/>
      <x:c r="V80" s="25"/>
      <x:c r="W80" s="25"/>
    </x:row>
    <x:row r="81">
      <x:c r="A81" s="25"/>
      <x:c r="B81" s="25"/>
      <x:c r="C81" s="25"/>
      <x:c r="D81" s="25"/>
      <x:c r="E81" s="39"/>
      <x:c r="F81" s="39"/>
      <x:c r="G81" s="30"/>
      <x:c r="H81" s="30"/>
      <x:c r="I81" s="25"/>
      <x:c r="J81" s="42" t="str">
        <x:f>IF(A81="","",E81+I81)</x:f>
      </x:c>
      <x:c r="K81" s="30"/>
      <x:c r="L81" s="30"/>
      <x:c r="M81" s="31" t="str">
        <x:f>IF(A81="","",IF(G81=0,0,K81/G81))</x:f>
      </x:c>
      <x:c r="N81" s="31" t="str">
        <x:f>IF(A81="","",IF(G81=0,0,L81/G81))</x:f>
      </x:c>
      <x:c r="O81" s="30"/>
      <x:c r="P81" s="30"/>
      <x:c r="Q81" s="30"/>
      <x:c r="R81" s="39"/>
      <x:c r="S81" s="39"/>
      <x:c r="T81" s="25"/>
      <x:c r="U81" s="25"/>
      <x:c r="V81" s="25"/>
      <x:c r="W81" s="25"/>
    </x:row>
    <x:row r="82">
      <x:c r="A82" s="25"/>
      <x:c r="B82" s="25"/>
      <x:c r="C82" s="25"/>
      <x:c r="D82" s="25"/>
      <x:c r="E82" s="39"/>
      <x:c r="F82" s="39"/>
      <x:c r="G82" s="30"/>
      <x:c r="H82" s="30"/>
      <x:c r="I82" s="25"/>
      <x:c r="J82" s="42" t="str">
        <x:f>IF(A82="","",E82+I82)</x:f>
      </x:c>
      <x:c r="K82" s="30"/>
      <x:c r="L82" s="30"/>
      <x:c r="M82" s="31" t="str">
        <x:f>IF(A82="","",IF(G82=0,0,K82/G82))</x:f>
      </x:c>
      <x:c r="N82" s="31" t="str">
        <x:f>IF(A82="","",IF(G82=0,0,L82/G82))</x:f>
      </x:c>
      <x:c r="O82" s="30"/>
      <x:c r="P82" s="30"/>
      <x:c r="Q82" s="30"/>
      <x:c r="R82" s="39"/>
      <x:c r="S82" s="39"/>
      <x:c r="T82" s="25"/>
      <x:c r="U82" s="25"/>
      <x:c r="V82" s="25"/>
      <x:c r="W82" s="25"/>
    </x:row>
    <x:row r="83">
      <x:c r="A83" s="25"/>
      <x:c r="B83" s="25"/>
      <x:c r="C83" s="25"/>
      <x:c r="D83" s="25"/>
      <x:c r="E83" s="39"/>
      <x:c r="F83" s="39"/>
      <x:c r="G83" s="30"/>
      <x:c r="H83" s="30"/>
      <x:c r="I83" s="25"/>
      <x:c r="J83" s="42" t="str">
        <x:f>IF(A83="","",E83+I83)</x:f>
      </x:c>
      <x:c r="K83" s="30"/>
      <x:c r="L83" s="30"/>
      <x:c r="M83" s="31" t="str">
        <x:f>IF(A83="","",IF(G83=0,0,K83/G83))</x:f>
      </x:c>
      <x:c r="N83" s="31" t="str">
        <x:f>IF(A83="","",IF(G83=0,0,L83/G83))</x:f>
      </x:c>
      <x:c r="O83" s="30"/>
      <x:c r="P83" s="30"/>
      <x:c r="Q83" s="30"/>
      <x:c r="R83" s="39"/>
      <x:c r="S83" s="39"/>
      <x:c r="T83" s="25"/>
      <x:c r="U83" s="25"/>
      <x:c r="V83" s="25"/>
      <x:c r="W83" s="25"/>
    </x:row>
    <x:row r="84">
      <x:c r="A84" s="25"/>
      <x:c r="B84" s="25"/>
      <x:c r="C84" s="25"/>
      <x:c r="D84" s="25"/>
      <x:c r="E84" s="39"/>
      <x:c r="F84" s="39"/>
      <x:c r="G84" s="30"/>
      <x:c r="H84" s="30"/>
      <x:c r="I84" s="25"/>
      <x:c r="J84" s="42" t="str">
        <x:f>IF(A84="","",E84+I84)</x:f>
      </x:c>
      <x:c r="K84" s="30"/>
      <x:c r="L84" s="30"/>
      <x:c r="M84" s="31" t="str">
        <x:f>IF(A84="","",IF(G84=0,0,K84/G84))</x:f>
      </x:c>
      <x:c r="N84" s="31" t="str">
        <x:f>IF(A84="","",IF(G84=0,0,L84/G84))</x:f>
      </x:c>
      <x:c r="O84" s="30"/>
      <x:c r="P84" s="30"/>
      <x:c r="Q84" s="30"/>
      <x:c r="R84" s="39"/>
      <x:c r="S84" s="39"/>
      <x:c r="T84" s="25"/>
      <x:c r="U84" s="25"/>
      <x:c r="V84" s="25"/>
      <x:c r="W84" s="25"/>
    </x:row>
    <x:row r="85">
      <x:c r="A85" s="25"/>
      <x:c r="B85" s="25"/>
      <x:c r="C85" s="25"/>
      <x:c r="D85" s="25"/>
      <x:c r="E85" s="39"/>
      <x:c r="F85" s="39"/>
      <x:c r="G85" s="30"/>
      <x:c r="H85" s="30"/>
      <x:c r="I85" s="25"/>
      <x:c r="J85" s="42" t="str">
        <x:f>IF(A85="","",E85+I85)</x:f>
      </x:c>
      <x:c r="K85" s="30"/>
      <x:c r="L85" s="30"/>
      <x:c r="M85" s="31" t="str">
        <x:f>IF(A85="","",IF(G85=0,0,K85/G85))</x:f>
      </x:c>
      <x:c r="N85" s="31" t="str">
        <x:f>IF(A85="","",IF(G85=0,0,L85/G85))</x:f>
      </x:c>
      <x:c r="O85" s="30"/>
      <x:c r="P85" s="30"/>
      <x:c r="Q85" s="30"/>
      <x:c r="R85" s="39"/>
      <x:c r="S85" s="39"/>
      <x:c r="T85" s="25"/>
      <x:c r="U85" s="25"/>
      <x:c r="V85" s="25"/>
      <x:c r="W85" s="25"/>
    </x:row>
    <x:row r="86">
      <x:c r="A86" s="25"/>
      <x:c r="B86" s="25"/>
      <x:c r="C86" s="25"/>
      <x:c r="D86" s="25"/>
      <x:c r="E86" s="39"/>
      <x:c r="F86" s="39"/>
      <x:c r="G86" s="30"/>
      <x:c r="H86" s="30"/>
      <x:c r="I86" s="25"/>
      <x:c r="J86" s="42" t="str">
        <x:f>IF(A86="","",E86+I86)</x:f>
      </x:c>
      <x:c r="K86" s="30"/>
      <x:c r="L86" s="30"/>
      <x:c r="M86" s="31" t="str">
        <x:f>IF(A86="","",IF(G86=0,0,K86/G86))</x:f>
      </x:c>
      <x:c r="N86" s="31" t="str">
        <x:f>IF(A86="","",IF(G86=0,0,L86/G86))</x:f>
      </x:c>
      <x:c r="O86" s="30"/>
      <x:c r="P86" s="30"/>
      <x:c r="Q86" s="30"/>
      <x:c r="R86" s="39"/>
      <x:c r="S86" s="39"/>
      <x:c r="T86" s="25"/>
      <x:c r="U86" s="25"/>
      <x:c r="V86" s="25"/>
      <x:c r="W86" s="25"/>
    </x:row>
    <x:row r="87">
      <x:c r="A87" s="25"/>
      <x:c r="B87" s="25"/>
      <x:c r="C87" s="25"/>
      <x:c r="D87" s="25"/>
      <x:c r="E87" s="39"/>
      <x:c r="F87" s="39"/>
      <x:c r="G87" s="30"/>
      <x:c r="H87" s="30"/>
      <x:c r="I87" s="25"/>
      <x:c r="J87" s="42" t="str">
        <x:f>IF(A87="","",E87+I87)</x:f>
      </x:c>
      <x:c r="K87" s="30"/>
      <x:c r="L87" s="30"/>
      <x:c r="M87" s="31" t="str">
        <x:f>IF(A87="","",IF(G87=0,0,K87/G87))</x:f>
      </x:c>
      <x:c r="N87" s="31" t="str">
        <x:f>IF(A87="","",IF(G87=0,0,L87/G87))</x:f>
      </x:c>
      <x:c r="O87" s="30"/>
      <x:c r="P87" s="30"/>
      <x:c r="Q87" s="30"/>
      <x:c r="R87" s="39"/>
      <x:c r="S87" s="39"/>
      <x:c r="T87" s="25"/>
      <x:c r="U87" s="25"/>
      <x:c r="V87" s="25"/>
      <x:c r="W87" s="25"/>
    </x:row>
    <x:row r="88">
      <x:c r="A88" s="25"/>
      <x:c r="B88" s="25"/>
      <x:c r="C88" s="25"/>
      <x:c r="D88" s="25"/>
      <x:c r="E88" s="39"/>
      <x:c r="F88" s="39"/>
      <x:c r="G88" s="30"/>
      <x:c r="H88" s="30"/>
      <x:c r="I88" s="25"/>
      <x:c r="J88" s="42" t="str">
        <x:f>IF(A88="","",E88+I88)</x:f>
      </x:c>
      <x:c r="K88" s="30"/>
      <x:c r="L88" s="30"/>
      <x:c r="M88" s="31" t="str">
        <x:f>IF(A88="","",IF(G88=0,0,K88/G88))</x:f>
      </x:c>
      <x:c r="N88" s="31" t="str">
        <x:f>IF(A88="","",IF(G88=0,0,L88/G88))</x:f>
      </x:c>
      <x:c r="O88" s="30"/>
      <x:c r="P88" s="30"/>
      <x:c r="Q88" s="30"/>
      <x:c r="R88" s="39"/>
      <x:c r="S88" s="39"/>
      <x:c r="T88" s="25"/>
      <x:c r="U88" s="25"/>
      <x:c r="V88" s="25"/>
      <x:c r="W88" s="25"/>
    </x:row>
    <x:row r="89">
      <x:c r="A89" s="25"/>
      <x:c r="B89" s="25"/>
      <x:c r="C89" s="25"/>
      <x:c r="D89" s="25"/>
      <x:c r="E89" s="39"/>
      <x:c r="F89" s="39"/>
      <x:c r="G89" s="30"/>
      <x:c r="H89" s="30"/>
      <x:c r="I89" s="25"/>
      <x:c r="J89" s="42" t="str">
        <x:f>IF(A89="","",E89+I89)</x:f>
      </x:c>
      <x:c r="K89" s="30"/>
      <x:c r="L89" s="30"/>
      <x:c r="M89" s="31" t="str">
        <x:f>IF(A89="","",IF(G89=0,0,K89/G89))</x:f>
      </x:c>
      <x:c r="N89" s="31" t="str">
        <x:f>IF(A89="","",IF(G89=0,0,L89/G89))</x:f>
      </x:c>
      <x:c r="O89" s="30"/>
      <x:c r="P89" s="30"/>
      <x:c r="Q89" s="30"/>
      <x:c r="R89" s="39"/>
      <x:c r="S89" s="39"/>
      <x:c r="T89" s="25"/>
      <x:c r="U89" s="25"/>
      <x:c r="V89" s="25"/>
      <x:c r="W89" s="25"/>
    </x:row>
    <x:row r="90">
      <x:c r="A90" s="25"/>
      <x:c r="B90" s="25"/>
      <x:c r="C90" s="25"/>
      <x:c r="D90" s="25"/>
      <x:c r="E90" s="39"/>
      <x:c r="F90" s="39"/>
      <x:c r="G90" s="30"/>
      <x:c r="H90" s="30"/>
      <x:c r="I90" s="25"/>
      <x:c r="J90" s="42" t="str">
        <x:f>IF(A90="","",E90+I90)</x:f>
      </x:c>
      <x:c r="K90" s="30"/>
      <x:c r="L90" s="30"/>
      <x:c r="M90" s="31" t="str">
        <x:f>IF(A90="","",IF(G90=0,0,K90/G90))</x:f>
      </x:c>
      <x:c r="N90" s="31" t="str">
        <x:f>IF(A90="","",IF(G90=0,0,L90/G90))</x:f>
      </x:c>
      <x:c r="O90" s="30"/>
      <x:c r="P90" s="30"/>
      <x:c r="Q90" s="30"/>
      <x:c r="R90" s="39"/>
      <x:c r="S90" s="39"/>
      <x:c r="T90" s="25"/>
      <x:c r="U90" s="25"/>
      <x:c r="V90" s="25"/>
      <x:c r="W90" s="25"/>
    </x:row>
    <x:row r="91">
      <x:c r="A91" s="25"/>
      <x:c r="B91" s="25"/>
      <x:c r="C91" s="25"/>
      <x:c r="D91" s="25"/>
      <x:c r="E91" s="39"/>
      <x:c r="F91" s="39"/>
      <x:c r="G91" s="30"/>
      <x:c r="H91" s="30"/>
      <x:c r="I91" s="25"/>
      <x:c r="J91" s="42" t="str">
        <x:f>IF(A91="","",E91+I91)</x:f>
      </x:c>
      <x:c r="K91" s="30"/>
      <x:c r="L91" s="30"/>
      <x:c r="M91" s="31" t="str">
        <x:f>IF(A91="","",IF(G91=0,0,K91/G91))</x:f>
      </x:c>
      <x:c r="N91" s="31" t="str">
        <x:f>IF(A91="","",IF(G91=0,0,L91/G91))</x:f>
      </x:c>
      <x:c r="O91" s="30"/>
      <x:c r="P91" s="30"/>
      <x:c r="Q91" s="30"/>
      <x:c r="R91" s="39"/>
      <x:c r="S91" s="39"/>
      <x:c r="T91" s="25"/>
      <x:c r="U91" s="25"/>
      <x:c r="V91" s="25"/>
      <x:c r="W91" s="25"/>
    </x:row>
    <x:row r="92">
      <x:c r="A92" s="25"/>
      <x:c r="B92" s="25"/>
      <x:c r="C92" s="25"/>
      <x:c r="D92" s="25"/>
      <x:c r="E92" s="39"/>
      <x:c r="F92" s="39"/>
      <x:c r="G92" s="30"/>
      <x:c r="H92" s="30"/>
      <x:c r="I92" s="25"/>
      <x:c r="J92" s="42" t="str">
        <x:f>IF(A92="","",E92+I92)</x:f>
      </x:c>
      <x:c r="K92" s="30"/>
      <x:c r="L92" s="30"/>
      <x:c r="M92" s="31" t="str">
        <x:f>IF(A92="","",IF(G92=0,0,K92/G92))</x:f>
      </x:c>
      <x:c r="N92" s="31" t="str">
        <x:f>IF(A92="","",IF(G92=0,0,L92/G92))</x:f>
      </x:c>
      <x:c r="O92" s="30"/>
      <x:c r="P92" s="30"/>
      <x:c r="Q92" s="30"/>
      <x:c r="R92" s="39"/>
      <x:c r="S92" s="39"/>
      <x:c r="T92" s="25"/>
      <x:c r="U92" s="25"/>
      <x:c r="V92" s="25"/>
      <x:c r="W92" s="25"/>
    </x:row>
    <x:row r="93">
      <x:c r="A93" s="25"/>
      <x:c r="B93" s="25"/>
      <x:c r="C93" s="25"/>
      <x:c r="D93" s="25"/>
      <x:c r="E93" s="39"/>
      <x:c r="F93" s="39"/>
      <x:c r="G93" s="30"/>
      <x:c r="H93" s="30"/>
      <x:c r="I93" s="25"/>
      <x:c r="J93" s="42" t="str">
        <x:f>IF(A93="","",E93+I93)</x:f>
      </x:c>
      <x:c r="K93" s="30"/>
      <x:c r="L93" s="30"/>
      <x:c r="M93" s="31" t="str">
        <x:f>IF(A93="","",IF(G93=0,0,K93/G93))</x:f>
      </x:c>
      <x:c r="N93" s="31" t="str">
        <x:f>IF(A93="","",IF(G93=0,0,L93/G93))</x:f>
      </x:c>
      <x:c r="O93" s="30"/>
      <x:c r="P93" s="30"/>
      <x:c r="Q93" s="30"/>
      <x:c r="R93" s="39"/>
      <x:c r="S93" s="39"/>
      <x:c r="T93" s="25"/>
      <x:c r="U93" s="25"/>
      <x:c r="V93" s="25"/>
      <x:c r="W93" s="25"/>
    </x:row>
    <x:row r="94">
      <x:c r="A94" s="25"/>
      <x:c r="B94" s="25"/>
      <x:c r="C94" s="25"/>
      <x:c r="D94" s="25"/>
      <x:c r="E94" s="39"/>
      <x:c r="F94" s="39"/>
      <x:c r="G94" s="30"/>
      <x:c r="H94" s="30"/>
      <x:c r="I94" s="25"/>
      <x:c r="J94" s="42" t="str">
        <x:f>IF(A94="","",E94+I94)</x:f>
      </x:c>
      <x:c r="K94" s="30"/>
      <x:c r="L94" s="30"/>
      <x:c r="M94" s="31" t="str">
        <x:f>IF(A94="","",IF(G94=0,0,K94/G94))</x:f>
      </x:c>
      <x:c r="N94" s="31" t="str">
        <x:f>IF(A94="","",IF(G94=0,0,L94/G94))</x:f>
      </x:c>
      <x:c r="O94" s="30"/>
      <x:c r="P94" s="30"/>
      <x:c r="Q94" s="30"/>
      <x:c r="R94" s="39"/>
      <x:c r="S94" s="39"/>
      <x:c r="T94" s="25"/>
      <x:c r="U94" s="25"/>
      <x:c r="V94" s="25"/>
      <x:c r="W94" s="25"/>
    </x:row>
    <x:row r="95">
      <x:c r="A95" s="25"/>
      <x:c r="B95" s="25"/>
      <x:c r="C95" s="25"/>
      <x:c r="D95" s="25"/>
      <x:c r="E95" s="39"/>
      <x:c r="F95" s="39"/>
      <x:c r="G95" s="30"/>
      <x:c r="H95" s="30"/>
      <x:c r="I95" s="25"/>
      <x:c r="J95" s="42" t="str">
        <x:f>IF(A95="","",E95+I95)</x:f>
      </x:c>
      <x:c r="K95" s="30"/>
      <x:c r="L95" s="30"/>
      <x:c r="M95" s="31" t="str">
        <x:f>IF(A95="","",IF(G95=0,0,K95/G95))</x:f>
      </x:c>
      <x:c r="N95" s="31" t="str">
        <x:f>IF(A95="","",IF(G95=0,0,L95/G95))</x:f>
      </x:c>
      <x:c r="O95" s="30"/>
      <x:c r="P95" s="30"/>
      <x:c r="Q95" s="30"/>
      <x:c r="R95" s="39"/>
      <x:c r="S95" s="39"/>
      <x:c r="T95" s="25"/>
      <x:c r="U95" s="25"/>
      <x:c r="V95" s="25"/>
      <x:c r="W95" s="25"/>
    </x:row>
    <x:row r="96">
      <x:c r="A96" s="25"/>
      <x:c r="B96" s="25"/>
      <x:c r="C96" s="25"/>
      <x:c r="D96" s="25"/>
      <x:c r="E96" s="39"/>
      <x:c r="F96" s="39"/>
      <x:c r="G96" s="30"/>
      <x:c r="H96" s="30"/>
      <x:c r="I96" s="25"/>
      <x:c r="J96" s="42" t="str">
        <x:f>IF(A96="","",E96+I96)</x:f>
      </x:c>
      <x:c r="K96" s="30"/>
      <x:c r="L96" s="30"/>
      <x:c r="M96" s="31" t="str">
        <x:f>IF(A96="","",IF(G96=0,0,K96/G96))</x:f>
      </x:c>
      <x:c r="N96" s="31" t="str">
        <x:f>IF(A96="","",IF(G96=0,0,L96/G96))</x:f>
      </x:c>
      <x:c r="O96" s="30"/>
      <x:c r="P96" s="30"/>
      <x:c r="Q96" s="30"/>
      <x:c r="R96" s="39"/>
      <x:c r="S96" s="39"/>
      <x:c r="T96" s="25"/>
      <x:c r="U96" s="25"/>
      <x:c r="V96" s="25"/>
      <x:c r="W96" s="25"/>
    </x:row>
    <x:row r="97">
      <x:c r="A97" s="25"/>
      <x:c r="B97" s="25"/>
      <x:c r="C97" s="25"/>
      <x:c r="D97" s="25"/>
      <x:c r="E97" s="39"/>
      <x:c r="F97" s="39"/>
      <x:c r="G97" s="30"/>
      <x:c r="H97" s="30"/>
      <x:c r="I97" s="25"/>
      <x:c r="J97" s="42" t="str">
        <x:f>IF(A97="","",E97+I97)</x:f>
      </x:c>
      <x:c r="K97" s="30"/>
      <x:c r="L97" s="30"/>
      <x:c r="M97" s="31" t="str">
        <x:f>IF(A97="","",IF(G97=0,0,K97/G97))</x:f>
      </x:c>
      <x:c r="N97" s="31" t="str">
        <x:f>IF(A97="","",IF(G97=0,0,L97/G97))</x:f>
      </x:c>
      <x:c r="O97" s="30"/>
      <x:c r="P97" s="30"/>
      <x:c r="Q97" s="30"/>
      <x:c r="R97" s="39"/>
      <x:c r="S97" s="39"/>
      <x:c r="T97" s="25"/>
      <x:c r="U97" s="25"/>
      <x:c r="V97" s="25"/>
      <x:c r="W97" s="25"/>
    </x:row>
    <x:row r="98">
      <x:c r="A98" s="25"/>
      <x:c r="B98" s="25"/>
      <x:c r="C98" s="25"/>
      <x:c r="D98" s="25"/>
      <x:c r="E98" s="39"/>
      <x:c r="F98" s="39"/>
      <x:c r="G98" s="30"/>
      <x:c r="H98" s="30"/>
      <x:c r="I98" s="25"/>
      <x:c r="J98" s="42" t="str">
        <x:f>IF(A98="","",E98+I98)</x:f>
      </x:c>
      <x:c r="K98" s="30"/>
      <x:c r="L98" s="30"/>
      <x:c r="M98" s="31" t="str">
        <x:f>IF(A98="","",IF(G98=0,0,K98/G98))</x:f>
      </x:c>
      <x:c r="N98" s="31" t="str">
        <x:f>IF(A98="","",IF(G98=0,0,L98/G98))</x:f>
      </x:c>
      <x:c r="O98" s="30"/>
      <x:c r="P98" s="30"/>
      <x:c r="Q98" s="30"/>
      <x:c r="R98" s="39"/>
      <x:c r="S98" s="39"/>
      <x:c r="T98" s="25"/>
      <x:c r="U98" s="25"/>
      <x:c r="V98" s="25"/>
      <x:c r="W98" s="25"/>
    </x:row>
    <x:row r="99">
      <x:c r="A99" s="25"/>
      <x:c r="B99" s="25"/>
      <x:c r="C99" s="25"/>
      <x:c r="D99" s="25"/>
      <x:c r="E99" s="39"/>
      <x:c r="F99" s="39"/>
      <x:c r="G99" s="30"/>
      <x:c r="H99" s="30"/>
      <x:c r="I99" s="25"/>
      <x:c r="J99" s="42" t="str">
        <x:f>IF(A99="","",E99+I99)</x:f>
      </x:c>
      <x:c r="K99" s="30"/>
      <x:c r="L99" s="30"/>
      <x:c r="M99" s="31" t="str">
        <x:f>IF(A99="","",IF(G99=0,0,K99/G99))</x:f>
      </x:c>
      <x:c r="N99" s="31" t="str">
        <x:f>IF(A99="","",IF(G99=0,0,L99/G99))</x:f>
      </x:c>
      <x:c r="O99" s="30"/>
      <x:c r="P99" s="30"/>
      <x:c r="Q99" s="30"/>
      <x:c r="R99" s="39"/>
      <x:c r="S99" s="39"/>
      <x:c r="T99" s="25"/>
      <x:c r="U99" s="25"/>
      <x:c r="V99" s="25"/>
      <x:c r="W99" s="25"/>
    </x:row>
    <x:row r="100">
      <x:c r="A100" s="25"/>
      <x:c r="B100" s="25"/>
      <x:c r="C100" s="25"/>
      <x:c r="D100" s="25"/>
      <x:c r="E100" s="39"/>
      <x:c r="F100" s="39"/>
      <x:c r="G100" s="30"/>
      <x:c r="H100" s="30"/>
      <x:c r="I100" s="25"/>
      <x:c r="J100" s="42" t="str">
        <x:f>IF(A100="","",E100+I100)</x:f>
      </x:c>
      <x:c r="K100" s="30"/>
      <x:c r="L100" s="30"/>
      <x:c r="M100" s="31" t="str">
        <x:f>IF(A100="","",IF(G100=0,0,K100/G100))</x:f>
      </x:c>
      <x:c r="N100" s="31" t="str">
        <x:f>IF(A100="","",IF(G100=0,0,L100/G100))</x:f>
      </x:c>
      <x:c r="O100" s="30"/>
      <x:c r="P100" s="30"/>
      <x:c r="Q100" s="30"/>
      <x:c r="R100" s="39"/>
      <x:c r="S100" s="39"/>
      <x:c r="T100" s="25"/>
      <x:c r="U100" s="25"/>
      <x:c r="V100" s="25"/>
      <x:c r="W100" s="25"/>
    </x:row>
    <x:row r="101">
      <x:c r="A101" s="25"/>
      <x:c r="B101" s="25"/>
      <x:c r="C101" s="25"/>
      <x:c r="D101" s="25"/>
      <x:c r="E101" s="39"/>
      <x:c r="F101" s="39"/>
      <x:c r="G101" s="30"/>
      <x:c r="H101" s="30"/>
      <x:c r="I101" s="25"/>
      <x:c r="J101" s="42" t="str">
        <x:f>IF(A101="","",E101+I101)</x:f>
      </x:c>
      <x:c r="K101" s="30"/>
      <x:c r="L101" s="30"/>
      <x:c r="M101" s="31" t="str">
        <x:f>IF(A101="","",IF(G101=0,0,K101/G101))</x:f>
      </x:c>
      <x:c r="N101" s="31" t="str">
        <x:f>IF(A101="","",IF(G101=0,0,L101/G101))</x:f>
      </x:c>
      <x:c r="O101" s="30"/>
      <x:c r="P101" s="30"/>
      <x:c r="Q101" s="30"/>
      <x:c r="R101" s="39"/>
      <x:c r="S101" s="39"/>
      <x:c r="T101" s="25"/>
      <x:c r="U101" s="25"/>
      <x:c r="V101" s="25"/>
      <x:c r="W101" s="25"/>
    </x:row>
    <x:row r="102">
      <x:c r="A102" s="25"/>
      <x:c r="B102" s="25"/>
      <x:c r="C102" s="25"/>
      <x:c r="D102" s="25"/>
      <x:c r="E102" s="39"/>
      <x:c r="F102" s="39"/>
      <x:c r="G102" s="30"/>
      <x:c r="H102" s="30"/>
      <x:c r="I102" s="25"/>
      <x:c r="J102" s="42" t="str">
        <x:f>IF(A102="","",E102+I102)</x:f>
      </x:c>
      <x:c r="K102" s="30"/>
      <x:c r="L102" s="30"/>
      <x:c r="M102" s="31" t="str">
        <x:f>IF(A102="","",IF(G102=0,0,K102/G102))</x:f>
      </x:c>
      <x:c r="N102" s="31" t="str">
        <x:f>IF(A102="","",IF(G102=0,0,L102/G102))</x:f>
      </x:c>
      <x:c r="O102" s="30"/>
      <x:c r="P102" s="30"/>
      <x:c r="Q102" s="30"/>
      <x:c r="R102" s="39"/>
      <x:c r="S102" s="39"/>
      <x:c r="T102" s="25"/>
      <x:c r="U102" s="25"/>
      <x:c r="V102" s="25"/>
      <x:c r="W102" s="25"/>
    </x:row>
    <x:row r="103">
      <x:c r="A103" s="25"/>
      <x:c r="B103" s="25"/>
      <x:c r="C103" s="25"/>
      <x:c r="D103" s="25"/>
      <x:c r="E103" s="39"/>
      <x:c r="F103" s="39"/>
      <x:c r="G103" s="30"/>
      <x:c r="H103" s="30"/>
      <x:c r="I103" s="25"/>
      <x:c r="J103" s="42" t="str">
        <x:f>IF(A103="","",E103+I103)</x:f>
      </x:c>
      <x:c r="K103" s="30"/>
      <x:c r="L103" s="30"/>
      <x:c r="M103" s="31" t="str">
        <x:f>IF(A103="","",IF(G103=0,0,K103/G103))</x:f>
      </x:c>
      <x:c r="N103" s="31" t="str">
        <x:f>IF(A103="","",IF(G103=0,0,L103/G103))</x:f>
      </x:c>
      <x:c r="O103" s="30"/>
      <x:c r="P103" s="30"/>
      <x:c r="Q103" s="30"/>
      <x:c r="R103" s="39"/>
      <x:c r="S103" s="39"/>
      <x:c r="T103" s="25"/>
      <x:c r="U103" s="25"/>
      <x:c r="V103" s="25"/>
      <x:c r="W103" s="25"/>
    </x:row>
    <x:row r="104">
      <x:c r="A104" s="25"/>
      <x:c r="B104" s="25"/>
      <x:c r="C104" s="25"/>
      <x:c r="D104" s="25"/>
      <x:c r="E104" s="39"/>
      <x:c r="F104" s="39"/>
      <x:c r="G104" s="30"/>
      <x:c r="H104" s="30"/>
      <x:c r="I104" s="25"/>
      <x:c r="J104" s="42" t="str">
        <x:f>IF(A104="","",E104+I104)</x:f>
      </x:c>
      <x:c r="K104" s="30"/>
      <x:c r="L104" s="30"/>
      <x:c r="M104" s="31" t="str">
        <x:f>IF(A104="","",IF(G104=0,0,K104/G104))</x:f>
      </x:c>
      <x:c r="N104" s="31" t="str">
        <x:f>IF(A104="","",IF(G104=0,0,L104/G104))</x:f>
      </x:c>
      <x:c r="O104" s="30"/>
      <x:c r="P104" s="30"/>
      <x:c r="Q104" s="30"/>
      <x:c r="R104" s="39"/>
      <x:c r="S104" s="39"/>
      <x:c r="T104" s="25"/>
      <x:c r="U104" s="25"/>
      <x:c r="V104" s="25"/>
      <x:c r="W104" s="25"/>
    </x:row>
    <x:row r="105">
      <x:c r="A105" s="25"/>
      <x:c r="B105" s="25"/>
      <x:c r="C105" s="25"/>
      <x:c r="D105" s="25"/>
      <x:c r="E105" s="39"/>
      <x:c r="F105" s="39"/>
      <x:c r="G105" s="30"/>
      <x:c r="H105" s="30"/>
      <x:c r="I105" s="25"/>
      <x:c r="J105" s="42" t="str">
        <x:f>IF(A105="","",E105+I105)</x:f>
      </x:c>
      <x:c r="K105" s="30"/>
      <x:c r="L105" s="30"/>
      <x:c r="M105" s="31" t="str">
        <x:f>IF(A105="","",IF(G105=0,0,K105/G105))</x:f>
      </x:c>
      <x:c r="N105" s="31" t="str">
        <x:f>IF(A105="","",IF(G105=0,0,L105/G105))</x:f>
      </x:c>
      <x:c r="O105" s="30"/>
      <x:c r="P105" s="30"/>
      <x:c r="Q105" s="30"/>
      <x:c r="R105" s="39"/>
      <x:c r="S105" s="39"/>
      <x:c r="T105" s="25"/>
      <x:c r="U105" s="25"/>
      <x:c r="V105" s="25"/>
      <x:c r="W105" s="25"/>
    </x:row>
    <x:row r="106">
      <x:c r="A106" s="25"/>
      <x:c r="B106" s="25"/>
      <x:c r="C106" s="25"/>
      <x:c r="D106" s="25"/>
      <x:c r="E106" s="39"/>
      <x:c r="F106" s="39"/>
      <x:c r="G106" s="30"/>
      <x:c r="H106" s="30"/>
      <x:c r="I106" s="25"/>
      <x:c r="J106" s="42" t="str">
        <x:f>IF(A106="","",E106+I106)</x:f>
      </x:c>
      <x:c r="K106" s="30"/>
      <x:c r="L106" s="30"/>
      <x:c r="M106" s="31" t="str">
        <x:f>IF(A106="","",IF(G106=0,0,K106/G106))</x:f>
      </x:c>
      <x:c r="N106" s="31" t="str">
        <x:f>IF(A106="","",IF(G106=0,0,L106/G106))</x:f>
      </x:c>
      <x:c r="O106" s="30"/>
      <x:c r="P106" s="30"/>
      <x:c r="Q106" s="30"/>
      <x:c r="R106" s="39"/>
      <x:c r="S106" s="39"/>
      <x:c r="T106" s="25"/>
      <x:c r="U106" s="25"/>
      <x:c r="V106" s="25"/>
      <x:c r="W106" s="25"/>
    </x:row>
    <x:row r="107">
      <x:c r="A107" s="25"/>
      <x:c r="B107" s="25"/>
      <x:c r="C107" s="25"/>
      <x:c r="D107" s="25"/>
      <x:c r="E107" s="39"/>
      <x:c r="F107" s="39"/>
      <x:c r="G107" s="30"/>
      <x:c r="H107" s="30"/>
      <x:c r="I107" s="25"/>
      <x:c r="J107" s="42" t="str">
        <x:f>IF(A107="","",E107+I107)</x:f>
      </x:c>
      <x:c r="K107" s="30"/>
      <x:c r="L107" s="30"/>
      <x:c r="M107" s="31" t="str">
        <x:f>IF(A107="","",IF(G107=0,0,K107/G107))</x:f>
      </x:c>
      <x:c r="N107" s="31" t="str">
        <x:f>IF(A107="","",IF(G107=0,0,L107/G107))</x:f>
      </x:c>
      <x:c r="O107" s="30"/>
      <x:c r="P107" s="30"/>
      <x:c r="Q107" s="30"/>
      <x:c r="R107" s="39"/>
      <x:c r="S107" s="39"/>
      <x:c r="T107" s="25"/>
      <x:c r="U107" s="25"/>
      <x:c r="V107" s="25"/>
      <x:c r="W107" s="25"/>
    </x:row>
    <x:row r="108">
      <x:c r="A108" s="25"/>
      <x:c r="B108" s="25"/>
      <x:c r="C108" s="25"/>
      <x:c r="D108" s="25"/>
      <x:c r="E108" s="39"/>
      <x:c r="F108" s="39"/>
      <x:c r="G108" s="30"/>
      <x:c r="H108" s="30"/>
      <x:c r="I108" s="25"/>
      <x:c r="J108" s="42" t="str">
        <x:f>IF(A108="","",E108+I108)</x:f>
      </x:c>
      <x:c r="K108" s="30"/>
      <x:c r="L108" s="30"/>
      <x:c r="M108" s="31" t="str">
        <x:f>IF(A108="","",IF(G108=0,0,K108/G108))</x:f>
      </x:c>
      <x:c r="N108" s="31" t="str">
        <x:f>IF(A108="","",IF(G108=0,0,L108/G108))</x:f>
      </x:c>
      <x:c r="O108" s="30"/>
      <x:c r="P108" s="30"/>
      <x:c r="Q108" s="30"/>
      <x:c r="R108" s="39"/>
      <x:c r="S108" s="39"/>
      <x:c r="T108" s="25"/>
      <x:c r="U108" s="25"/>
      <x:c r="V108" s="25"/>
      <x:c r="W108" s="25"/>
    </x:row>
    <x:row r="109">
      <x:c r="A109" s="25"/>
      <x:c r="B109" s="25"/>
      <x:c r="C109" s="25"/>
      <x:c r="D109" s="25"/>
      <x:c r="E109" s="39"/>
      <x:c r="F109" s="39"/>
      <x:c r="G109" s="30"/>
      <x:c r="H109" s="30"/>
      <x:c r="I109" s="25"/>
      <x:c r="J109" s="42" t="str">
        <x:f>IF(A109="","",E109+I109)</x:f>
      </x:c>
      <x:c r="K109" s="30"/>
      <x:c r="L109" s="30"/>
      <x:c r="M109" s="31" t="str">
        <x:f>IF(A109="","",IF(G109=0,0,K109/G109))</x:f>
      </x:c>
      <x:c r="N109" s="31" t="str">
        <x:f>IF(A109="","",IF(G109=0,0,L109/G109))</x:f>
      </x:c>
      <x:c r="O109" s="30"/>
      <x:c r="P109" s="30"/>
      <x:c r="Q109" s="30"/>
      <x:c r="R109" s="39"/>
      <x:c r="S109" s="39"/>
      <x:c r="T109" s="25"/>
      <x:c r="U109" s="25"/>
      <x:c r="V109" s="25"/>
      <x:c r="W109" s="25"/>
    </x:row>
    <x:row r="110">
      <x:c r="A110" s="25"/>
      <x:c r="B110" s="25"/>
      <x:c r="C110" s="25"/>
      <x:c r="D110" s="25"/>
      <x:c r="E110" s="39"/>
      <x:c r="F110" s="39"/>
      <x:c r="G110" s="30"/>
      <x:c r="H110" s="30"/>
      <x:c r="I110" s="25"/>
      <x:c r="J110" s="42" t="str">
        <x:f>IF(A110="","",E110+I110)</x:f>
      </x:c>
      <x:c r="K110" s="30"/>
      <x:c r="L110" s="30"/>
      <x:c r="M110" s="31" t="str">
        <x:f>IF(A110="","",IF(G110=0,0,K110/G110))</x:f>
      </x:c>
      <x:c r="N110" s="31" t="str">
        <x:f>IF(A110="","",IF(G110=0,0,L110/G110))</x:f>
      </x:c>
      <x:c r="O110" s="30"/>
      <x:c r="P110" s="30"/>
      <x:c r="Q110" s="30"/>
      <x:c r="R110" s="39"/>
      <x:c r="S110" s="39"/>
      <x:c r="T110" s="25"/>
      <x:c r="U110" s="25"/>
      <x:c r="V110" s="25"/>
      <x:c r="W110" s="25"/>
    </x:row>
    <x:row r="111">
      <x:c r="A111" s="25"/>
      <x:c r="B111" s="25"/>
      <x:c r="C111" s="25"/>
      <x:c r="D111" s="25"/>
      <x:c r="E111" s="39"/>
      <x:c r="F111" s="39"/>
      <x:c r="G111" s="30"/>
      <x:c r="H111" s="30"/>
      <x:c r="I111" s="25"/>
      <x:c r="J111" s="42" t="str">
        <x:f>IF(A111="","",E111+I111)</x:f>
      </x:c>
      <x:c r="K111" s="30"/>
      <x:c r="L111" s="30"/>
      <x:c r="M111" s="31" t="str">
        <x:f>IF(A111="","",IF(G111=0,0,K111/G111))</x:f>
      </x:c>
      <x:c r="N111" s="31" t="str">
        <x:f>IF(A111="","",IF(G111=0,0,L111/G111))</x:f>
      </x:c>
      <x:c r="O111" s="30"/>
      <x:c r="P111" s="30"/>
      <x:c r="Q111" s="30"/>
      <x:c r="R111" s="39"/>
      <x:c r="S111" s="39"/>
      <x:c r="T111" s="25"/>
      <x:c r="U111" s="25"/>
      <x:c r="V111" s="25"/>
      <x:c r="W111" s="25"/>
    </x:row>
    <x:row r="112">
      <x:c r="A112" s="25"/>
      <x:c r="B112" s="25"/>
      <x:c r="C112" s="25"/>
      <x:c r="D112" s="25"/>
      <x:c r="E112" s="39"/>
      <x:c r="F112" s="39"/>
      <x:c r="G112" s="30"/>
      <x:c r="H112" s="30"/>
      <x:c r="I112" s="25"/>
      <x:c r="J112" s="42" t="str">
        <x:f>IF(A112="","",E112+I112)</x:f>
      </x:c>
      <x:c r="K112" s="30"/>
      <x:c r="L112" s="30"/>
      <x:c r="M112" s="31" t="str">
        <x:f>IF(A112="","",IF(G112=0,0,K112/G112))</x:f>
      </x:c>
      <x:c r="N112" s="31" t="str">
        <x:f>IF(A112="","",IF(G112=0,0,L112/G112))</x:f>
      </x:c>
      <x:c r="O112" s="30"/>
      <x:c r="P112" s="30"/>
      <x:c r="Q112" s="30"/>
      <x:c r="R112" s="39"/>
      <x:c r="S112" s="39"/>
      <x:c r="T112" s="25"/>
      <x:c r="U112" s="25"/>
      <x:c r="V112" s="25"/>
      <x:c r="W112" s="25"/>
    </x:row>
    <x:row r="113">
      <x:c r="A113" s="25"/>
      <x:c r="B113" s="25"/>
      <x:c r="C113" s="25"/>
      <x:c r="D113" s="25"/>
      <x:c r="E113" s="39"/>
      <x:c r="F113" s="39"/>
      <x:c r="G113" s="30"/>
      <x:c r="H113" s="30"/>
      <x:c r="I113" s="25"/>
      <x:c r="J113" s="42" t="str">
        <x:f>IF(A113="","",E113+I113)</x:f>
      </x:c>
      <x:c r="K113" s="30"/>
      <x:c r="L113" s="30"/>
      <x:c r="M113" s="31" t="str">
        <x:f>IF(A113="","",IF(G113=0,0,K113/G113))</x:f>
      </x:c>
      <x:c r="N113" s="31" t="str">
        <x:f>IF(A113="","",IF(G113=0,0,L113/G113))</x:f>
      </x:c>
      <x:c r="O113" s="30"/>
      <x:c r="P113" s="30"/>
      <x:c r="Q113" s="30"/>
      <x:c r="R113" s="39"/>
      <x:c r="S113" s="39"/>
      <x:c r="T113" s="25"/>
      <x:c r="U113" s="25"/>
      <x:c r="V113" s="25"/>
      <x:c r="W113" s="25"/>
    </x:row>
    <x:row r="114">
      <x:c r="A114" s="25"/>
      <x:c r="B114" s="25"/>
      <x:c r="C114" s="25"/>
      <x:c r="D114" s="25"/>
      <x:c r="E114" s="39"/>
      <x:c r="F114" s="39"/>
      <x:c r="G114" s="30"/>
      <x:c r="H114" s="30"/>
      <x:c r="I114" s="25"/>
      <x:c r="J114" s="42" t="str">
        <x:f>IF(A114="","",E114+I114)</x:f>
      </x:c>
      <x:c r="K114" s="30"/>
      <x:c r="L114" s="30"/>
      <x:c r="M114" s="31" t="str">
        <x:f>IF(A114="","",IF(G114=0,0,K114/G114))</x:f>
      </x:c>
      <x:c r="N114" s="31" t="str">
        <x:f>IF(A114="","",IF(G114=0,0,L114/G114))</x:f>
      </x:c>
      <x:c r="O114" s="30"/>
      <x:c r="P114" s="30"/>
      <x:c r="Q114" s="30"/>
      <x:c r="R114" s="39"/>
      <x:c r="S114" s="39"/>
      <x:c r="T114" s="25"/>
      <x:c r="U114" s="25"/>
      <x:c r="V114" s="25"/>
      <x:c r="W114" s="25"/>
    </x:row>
    <x:row r="115">
      <x:c r="A115" s="25"/>
      <x:c r="B115" s="25"/>
      <x:c r="C115" s="25"/>
      <x:c r="D115" s="25"/>
      <x:c r="E115" s="39"/>
      <x:c r="F115" s="39"/>
      <x:c r="G115" s="30"/>
      <x:c r="H115" s="30"/>
      <x:c r="I115" s="25"/>
      <x:c r="J115" s="42" t="str">
        <x:f>IF(A115="","",E115+I115)</x:f>
      </x:c>
      <x:c r="K115" s="30"/>
      <x:c r="L115" s="30"/>
      <x:c r="M115" s="31" t="str">
        <x:f>IF(A115="","",IF(G115=0,0,K115/G115))</x:f>
      </x:c>
      <x:c r="N115" s="31" t="str">
        <x:f>IF(A115="","",IF(G115=0,0,L115/G115))</x:f>
      </x:c>
      <x:c r="O115" s="30"/>
      <x:c r="P115" s="30"/>
      <x:c r="Q115" s="30"/>
      <x:c r="R115" s="39"/>
      <x:c r="S115" s="39"/>
      <x:c r="T115" s="25"/>
      <x:c r="U115" s="25"/>
      <x:c r="V115" s="25"/>
      <x:c r="W115" s="25"/>
    </x:row>
    <x:row r="116">
      <x:c r="A116" s="25"/>
      <x:c r="B116" s="25"/>
      <x:c r="C116" s="25"/>
      <x:c r="D116" s="25"/>
      <x:c r="E116" s="39"/>
      <x:c r="F116" s="39"/>
      <x:c r="G116" s="30"/>
      <x:c r="H116" s="30"/>
      <x:c r="I116" s="25"/>
      <x:c r="J116" s="42" t="str">
        <x:f>IF(A116="","",E116+I116)</x:f>
      </x:c>
      <x:c r="K116" s="30"/>
      <x:c r="L116" s="30"/>
      <x:c r="M116" s="31" t="str">
        <x:f>IF(A116="","",IF(G116=0,0,K116/G116))</x:f>
      </x:c>
      <x:c r="N116" s="31" t="str">
        <x:f>IF(A116="","",IF(G116=0,0,L116/G116))</x:f>
      </x:c>
      <x:c r="O116" s="30"/>
      <x:c r="P116" s="30"/>
      <x:c r="Q116" s="30"/>
      <x:c r="R116" s="39"/>
      <x:c r="S116" s="39"/>
      <x:c r="T116" s="25"/>
      <x:c r="U116" s="25"/>
      <x:c r="V116" s="25"/>
      <x:c r="W116" s="25"/>
    </x:row>
    <x:row r="117">
      <x:c r="A117" s="25"/>
      <x:c r="B117" s="25"/>
      <x:c r="C117" s="25"/>
      <x:c r="D117" s="25"/>
      <x:c r="E117" s="39"/>
      <x:c r="F117" s="39"/>
      <x:c r="G117" s="30"/>
      <x:c r="H117" s="30"/>
      <x:c r="I117" s="25"/>
      <x:c r="J117" s="42" t="str">
        <x:f>IF(A117="","",E117+I117)</x:f>
      </x:c>
      <x:c r="K117" s="30"/>
      <x:c r="L117" s="30"/>
      <x:c r="M117" s="31" t="str">
        <x:f>IF(A117="","",IF(G117=0,0,K117/G117))</x:f>
      </x:c>
      <x:c r="N117" s="31" t="str">
        <x:f>IF(A117="","",IF(G117=0,0,L117/G117))</x:f>
      </x:c>
      <x:c r="O117" s="30"/>
      <x:c r="P117" s="30"/>
      <x:c r="Q117" s="30"/>
      <x:c r="R117" s="39"/>
      <x:c r="S117" s="39"/>
      <x:c r="T117" s="25"/>
      <x:c r="U117" s="25"/>
      <x:c r="V117" s="25"/>
      <x:c r="W117" s="25"/>
    </x:row>
    <x:row r="118">
      <x:c r="A118" s="25"/>
      <x:c r="B118" s="25"/>
      <x:c r="C118" s="25"/>
      <x:c r="D118" s="25"/>
      <x:c r="E118" s="39"/>
      <x:c r="F118" s="39"/>
      <x:c r="G118" s="30"/>
      <x:c r="H118" s="30"/>
      <x:c r="I118" s="25"/>
      <x:c r="J118" s="42" t="str">
        <x:f>IF(A118="","",E118+I118)</x:f>
      </x:c>
      <x:c r="K118" s="30"/>
      <x:c r="L118" s="30"/>
      <x:c r="M118" s="31" t="str">
        <x:f>IF(A118="","",IF(G118=0,0,K118/G118))</x:f>
      </x:c>
      <x:c r="N118" s="31" t="str">
        <x:f>IF(A118="","",IF(G118=0,0,L118/G118))</x:f>
      </x:c>
      <x:c r="O118" s="30"/>
      <x:c r="P118" s="30"/>
      <x:c r="Q118" s="30"/>
      <x:c r="R118" s="39"/>
      <x:c r="S118" s="39"/>
      <x:c r="T118" s="25"/>
      <x:c r="U118" s="25"/>
      <x:c r="V118" s="25"/>
      <x:c r="W118" s="25"/>
    </x:row>
    <x:row r="119">
      <x:c r="A119" s="25"/>
      <x:c r="B119" s="25"/>
      <x:c r="C119" s="25"/>
      <x:c r="D119" s="25"/>
      <x:c r="E119" s="39"/>
      <x:c r="F119" s="39"/>
      <x:c r="G119" s="30"/>
      <x:c r="H119" s="30"/>
      <x:c r="I119" s="25"/>
      <x:c r="J119" s="42" t="str">
        <x:f>IF(A119="","",E119+I119)</x:f>
      </x:c>
      <x:c r="K119" s="30"/>
      <x:c r="L119" s="30"/>
      <x:c r="M119" s="31" t="str">
        <x:f>IF(A119="","",IF(G119=0,0,K119/G119))</x:f>
      </x:c>
      <x:c r="N119" s="31" t="str">
        <x:f>IF(A119="","",IF(G119=0,0,L119/G119))</x:f>
      </x:c>
      <x:c r="O119" s="30"/>
      <x:c r="P119" s="30"/>
      <x:c r="Q119" s="30"/>
      <x:c r="R119" s="39"/>
      <x:c r="S119" s="39"/>
      <x:c r="T119" s="25"/>
      <x:c r="U119" s="25"/>
      <x:c r="V119" s="25"/>
      <x:c r="W119" s="25"/>
    </x:row>
    <x:row r="120">
      <x:c r="A120" s="25"/>
      <x:c r="B120" s="25"/>
      <x:c r="C120" s="25"/>
      <x:c r="D120" s="25"/>
      <x:c r="E120" s="39"/>
      <x:c r="F120" s="39"/>
      <x:c r="G120" s="30"/>
      <x:c r="H120" s="30"/>
      <x:c r="I120" s="25"/>
      <x:c r="J120" s="42" t="str">
        <x:f>IF(A120="","",E120+I120)</x:f>
      </x:c>
      <x:c r="K120" s="30"/>
      <x:c r="L120" s="30"/>
      <x:c r="M120" s="31" t="str">
        <x:f>IF(A120="","",IF(G120=0,0,K120/G120))</x:f>
      </x:c>
      <x:c r="N120" s="31" t="str">
        <x:f>IF(A120="","",IF(G120=0,0,L120/G120))</x:f>
      </x:c>
      <x:c r="O120" s="30"/>
      <x:c r="P120" s="30"/>
      <x:c r="Q120" s="30"/>
      <x:c r="R120" s="39"/>
      <x:c r="S120" s="39"/>
      <x:c r="T120" s="25"/>
      <x:c r="U120" s="25"/>
      <x:c r="V120" s="25"/>
      <x:c r="W120" s="25"/>
    </x:row>
    <x:row r="121">
      <x:c r="A121" s="25"/>
      <x:c r="B121" s="25"/>
      <x:c r="C121" s="25"/>
      <x:c r="D121" s="25"/>
      <x:c r="E121" s="39"/>
      <x:c r="F121" s="39"/>
      <x:c r="G121" s="30"/>
      <x:c r="H121" s="30"/>
      <x:c r="I121" s="25"/>
      <x:c r="J121" s="42" t="str">
        <x:f>IF(A121="","",E121+I121)</x:f>
      </x:c>
      <x:c r="K121" s="30"/>
      <x:c r="L121" s="30"/>
      <x:c r="M121" s="31" t="str">
        <x:f>IF(A121="","",IF(G121=0,0,K121/G121))</x:f>
      </x:c>
      <x:c r="N121" s="31" t="str">
        <x:f>IF(A121="","",IF(G121=0,0,L121/G121))</x:f>
      </x:c>
      <x:c r="O121" s="30"/>
      <x:c r="P121" s="30"/>
      <x:c r="Q121" s="30"/>
      <x:c r="R121" s="39"/>
      <x:c r="S121" s="39"/>
      <x:c r="T121" s="25"/>
      <x:c r="U121" s="25"/>
      <x:c r="V121" s="25"/>
      <x:c r="W121" s="25"/>
    </x:row>
    <x:row r="122">
      <x:c r="A122" s="25"/>
      <x:c r="B122" s="25"/>
      <x:c r="C122" s="25"/>
      <x:c r="D122" s="25"/>
      <x:c r="E122" s="39"/>
      <x:c r="F122" s="39"/>
      <x:c r="G122" s="30"/>
      <x:c r="H122" s="30"/>
      <x:c r="I122" s="25"/>
      <x:c r="J122" s="42" t="str">
        <x:f>IF(A122="","",E122+I122)</x:f>
      </x:c>
      <x:c r="K122" s="30"/>
      <x:c r="L122" s="30"/>
      <x:c r="M122" s="31" t="str">
        <x:f>IF(A122="","",IF(G122=0,0,K122/G122))</x:f>
      </x:c>
      <x:c r="N122" s="31" t="str">
        <x:f>IF(A122="","",IF(G122=0,0,L122/G122))</x:f>
      </x:c>
      <x:c r="O122" s="30"/>
      <x:c r="P122" s="30"/>
      <x:c r="Q122" s="30"/>
      <x:c r="R122" s="39"/>
      <x:c r="S122" s="39"/>
      <x:c r="T122" s="25"/>
      <x:c r="U122" s="25"/>
      <x:c r="V122" s="25"/>
      <x:c r="W122" s="25"/>
    </x:row>
    <x:row r="123">
      <x:c r="A123" s="25"/>
      <x:c r="B123" s="25"/>
      <x:c r="C123" s="25"/>
      <x:c r="D123" s="25"/>
      <x:c r="E123" s="39"/>
      <x:c r="F123" s="39"/>
      <x:c r="G123" s="30"/>
      <x:c r="H123" s="30"/>
      <x:c r="I123" s="25"/>
      <x:c r="J123" s="42" t="str">
        <x:f>IF(A123="","",E123+I123)</x:f>
      </x:c>
      <x:c r="K123" s="30"/>
      <x:c r="L123" s="30"/>
      <x:c r="M123" s="31" t="str">
        <x:f>IF(A123="","",IF(G123=0,0,K123/G123))</x:f>
      </x:c>
      <x:c r="N123" s="31" t="str">
        <x:f>IF(A123="","",IF(G123=0,0,L123/G123))</x:f>
      </x:c>
      <x:c r="O123" s="30"/>
      <x:c r="P123" s="30"/>
      <x:c r="Q123" s="30"/>
      <x:c r="R123" s="39"/>
      <x:c r="S123" s="39"/>
      <x:c r="T123" s="25"/>
      <x:c r="U123" s="25"/>
      <x:c r="V123" s="25"/>
      <x:c r="W123" s="25"/>
    </x:row>
    <x:row r="124">
      <x:c r="A124" s="25"/>
      <x:c r="B124" s="25"/>
      <x:c r="C124" s="25"/>
      <x:c r="D124" s="25"/>
      <x:c r="E124" s="39"/>
      <x:c r="F124" s="39"/>
      <x:c r="G124" s="30"/>
      <x:c r="H124" s="30"/>
      <x:c r="I124" s="25"/>
      <x:c r="J124" s="42" t="str">
        <x:f>IF(A124="","",E124+I124)</x:f>
      </x:c>
      <x:c r="K124" s="30"/>
      <x:c r="L124" s="30"/>
      <x:c r="M124" s="31" t="str">
        <x:f>IF(A124="","",IF(G124=0,0,K124/G124))</x:f>
      </x:c>
      <x:c r="N124" s="31" t="str">
        <x:f>IF(A124="","",IF(G124=0,0,L124/G124))</x:f>
      </x:c>
      <x:c r="O124" s="30"/>
      <x:c r="P124" s="30"/>
      <x:c r="Q124" s="30"/>
      <x:c r="R124" s="39"/>
      <x:c r="S124" s="39"/>
      <x:c r="T124" s="25"/>
      <x:c r="U124" s="25"/>
      <x:c r="V124" s="25"/>
      <x:c r="W124" s="25"/>
    </x:row>
    <x:row r="125">
      <x:c r="A125" s="25"/>
      <x:c r="B125" s="25"/>
      <x:c r="C125" s="25"/>
      <x:c r="D125" s="25"/>
      <x:c r="E125" s="39"/>
      <x:c r="F125" s="39"/>
      <x:c r="G125" s="30"/>
      <x:c r="H125" s="30"/>
      <x:c r="I125" s="25"/>
      <x:c r="J125" s="42" t="str">
        <x:f>IF(A125="","",E125+I125)</x:f>
      </x:c>
      <x:c r="K125" s="30"/>
      <x:c r="L125" s="30"/>
      <x:c r="M125" s="31" t="str">
        <x:f>IF(A125="","",IF(G125=0,0,K125/G125))</x:f>
      </x:c>
      <x:c r="N125" s="31" t="str">
        <x:f>IF(A125="","",IF(G125=0,0,L125/G125))</x:f>
      </x:c>
      <x:c r="O125" s="30"/>
      <x:c r="P125" s="30"/>
      <x:c r="Q125" s="30"/>
      <x:c r="R125" s="39"/>
      <x:c r="S125" s="39"/>
      <x:c r="T125" s="25"/>
      <x:c r="U125" s="25"/>
      <x:c r="V125" s="25"/>
      <x:c r="W125" s="25"/>
    </x:row>
    <x:row r="126">
      <x:c r="A126" s="25"/>
      <x:c r="B126" s="25"/>
      <x:c r="C126" s="25"/>
      <x:c r="D126" s="25"/>
      <x:c r="E126" s="39"/>
      <x:c r="F126" s="39"/>
      <x:c r="G126" s="30"/>
      <x:c r="H126" s="30"/>
      <x:c r="I126" s="25"/>
      <x:c r="J126" s="42" t="str">
        <x:f>IF(A126="","",E126+I126)</x:f>
      </x:c>
      <x:c r="K126" s="30"/>
      <x:c r="L126" s="30"/>
      <x:c r="M126" s="31" t="str">
        <x:f>IF(A126="","",IF(G126=0,0,K126/G126))</x:f>
      </x:c>
      <x:c r="N126" s="31" t="str">
        <x:f>IF(A126="","",IF(G126=0,0,L126/G126))</x:f>
      </x:c>
      <x:c r="O126" s="30"/>
      <x:c r="P126" s="30"/>
      <x:c r="Q126" s="30"/>
      <x:c r="R126" s="39"/>
      <x:c r="S126" s="39"/>
      <x:c r="T126" s="25"/>
      <x:c r="U126" s="25"/>
      <x:c r="V126" s="25"/>
      <x:c r="W126" s="25"/>
    </x:row>
    <x:row r="127">
      <x:c r="A127" s="25"/>
      <x:c r="B127" s="25"/>
      <x:c r="C127" s="25"/>
      <x:c r="D127" s="25"/>
      <x:c r="E127" s="39"/>
      <x:c r="F127" s="39"/>
      <x:c r="G127" s="30"/>
      <x:c r="H127" s="30"/>
      <x:c r="I127" s="25"/>
      <x:c r="J127" s="42" t="str">
        <x:f>IF(A127="","",E127+I127)</x:f>
      </x:c>
      <x:c r="K127" s="30"/>
      <x:c r="L127" s="30"/>
      <x:c r="M127" s="31" t="str">
        <x:f>IF(A127="","",IF(G127=0,0,K127/G127))</x:f>
      </x:c>
      <x:c r="N127" s="31" t="str">
        <x:f>IF(A127="","",IF(G127=0,0,L127/G127))</x:f>
      </x:c>
      <x:c r="O127" s="30"/>
      <x:c r="P127" s="30"/>
      <x:c r="Q127" s="30"/>
      <x:c r="R127" s="39"/>
      <x:c r="S127" s="39"/>
      <x:c r="T127" s="25"/>
      <x:c r="U127" s="25"/>
      <x:c r="V127" s="25"/>
      <x:c r="W127" s="25"/>
    </x:row>
    <x:row r="128">
      <x:c r="A128" s="25"/>
      <x:c r="B128" s="25"/>
      <x:c r="C128" s="25"/>
      <x:c r="D128" s="25"/>
      <x:c r="E128" s="39"/>
      <x:c r="F128" s="39"/>
      <x:c r="G128" s="30"/>
      <x:c r="H128" s="30"/>
      <x:c r="I128" s="25"/>
      <x:c r="J128" s="42" t="str">
        <x:f>IF(A128="","",E128+I128)</x:f>
      </x:c>
      <x:c r="K128" s="30"/>
      <x:c r="L128" s="30"/>
      <x:c r="M128" s="31" t="str">
        <x:f>IF(A128="","",IF(G128=0,0,K128/G128))</x:f>
      </x:c>
      <x:c r="N128" s="31" t="str">
        <x:f>IF(A128="","",IF(G128=0,0,L128/G128))</x:f>
      </x:c>
      <x:c r="O128" s="30"/>
      <x:c r="P128" s="30"/>
      <x:c r="Q128" s="30"/>
      <x:c r="R128" s="39"/>
      <x:c r="S128" s="39"/>
      <x:c r="T128" s="25"/>
      <x:c r="U128" s="25"/>
      <x:c r="V128" s="25"/>
      <x:c r="W128" s="25"/>
    </x:row>
    <x:row r="129">
      <x:c r="A129" s="25"/>
      <x:c r="B129" s="25"/>
      <x:c r="C129" s="25"/>
      <x:c r="D129" s="25"/>
      <x:c r="E129" s="39"/>
      <x:c r="F129" s="39"/>
      <x:c r="G129" s="30"/>
      <x:c r="H129" s="30"/>
      <x:c r="I129" s="25"/>
      <x:c r="J129" s="42" t="str">
        <x:f>IF(A129="","",E129+I129)</x:f>
      </x:c>
      <x:c r="K129" s="30"/>
      <x:c r="L129" s="30"/>
      <x:c r="M129" s="31" t="str">
        <x:f>IF(A129="","",IF(G129=0,0,K129/G129))</x:f>
      </x:c>
      <x:c r="N129" s="31" t="str">
        <x:f>IF(A129="","",IF(G129=0,0,L129/G129))</x:f>
      </x:c>
      <x:c r="O129" s="30"/>
      <x:c r="P129" s="30"/>
      <x:c r="Q129" s="30"/>
      <x:c r="R129" s="39"/>
      <x:c r="S129" s="39"/>
      <x:c r="T129" s="25"/>
      <x:c r="U129" s="25"/>
      <x:c r="V129" s="25"/>
      <x:c r="W129" s="25"/>
    </x:row>
    <x:row r="130">
      <x:c r="A130" s="25"/>
      <x:c r="B130" s="25"/>
      <x:c r="C130" s="25"/>
      <x:c r="D130" s="25"/>
      <x:c r="E130" s="39"/>
      <x:c r="F130" s="39"/>
      <x:c r="G130" s="30"/>
      <x:c r="H130" s="30"/>
      <x:c r="I130" s="25"/>
      <x:c r="J130" s="42" t="str">
        <x:f>IF(A130="","",E130+I130)</x:f>
      </x:c>
      <x:c r="K130" s="30"/>
      <x:c r="L130" s="30"/>
      <x:c r="M130" s="31" t="str">
        <x:f>IF(A130="","",IF(G130=0,0,K130/G130))</x:f>
      </x:c>
      <x:c r="N130" s="31" t="str">
        <x:f>IF(A130="","",IF(G130=0,0,L130/G130))</x:f>
      </x:c>
      <x:c r="O130" s="30"/>
      <x:c r="P130" s="30"/>
      <x:c r="Q130" s="30"/>
      <x:c r="R130" s="39"/>
      <x:c r="S130" s="39"/>
      <x:c r="T130" s="25"/>
      <x:c r="U130" s="25"/>
      <x:c r="V130" s="25"/>
      <x:c r="W130" s="25"/>
    </x:row>
    <x:row r="131">
      <x:c r="A131" s="25"/>
      <x:c r="B131" s="25"/>
      <x:c r="C131" s="25"/>
      <x:c r="D131" s="25"/>
      <x:c r="E131" s="39"/>
      <x:c r="F131" s="39"/>
      <x:c r="G131" s="30"/>
      <x:c r="H131" s="30"/>
      <x:c r="I131" s="25"/>
      <x:c r="J131" s="42" t="str">
        <x:f>IF(A131="","",E131+I131)</x:f>
      </x:c>
      <x:c r="K131" s="30"/>
      <x:c r="L131" s="30"/>
      <x:c r="M131" s="31" t="str">
        <x:f>IF(A131="","",IF(G131=0,0,K131/G131))</x:f>
      </x:c>
      <x:c r="N131" s="31" t="str">
        <x:f>IF(A131="","",IF(G131=0,0,L131/G131))</x:f>
      </x:c>
      <x:c r="O131" s="30"/>
      <x:c r="P131" s="30"/>
      <x:c r="Q131" s="30"/>
      <x:c r="R131" s="39"/>
      <x:c r="S131" s="39"/>
      <x:c r="T131" s="25"/>
      <x:c r="U131" s="25"/>
      <x:c r="V131" s="25"/>
      <x:c r="W131" s="25"/>
    </x:row>
    <x:row r="132">
      <x:c r="A132" s="25"/>
      <x:c r="B132" s="25"/>
      <x:c r="C132" s="25"/>
      <x:c r="D132" s="25"/>
      <x:c r="E132" s="39"/>
      <x:c r="F132" s="39"/>
      <x:c r="G132" s="30"/>
      <x:c r="H132" s="30"/>
      <x:c r="I132" s="25"/>
      <x:c r="J132" s="42" t="str">
        <x:f>IF(A132="","",E132+I132)</x:f>
      </x:c>
      <x:c r="K132" s="30"/>
      <x:c r="L132" s="30"/>
      <x:c r="M132" s="31" t="str">
        <x:f>IF(A132="","",IF(G132=0,0,K132/G132))</x:f>
      </x:c>
      <x:c r="N132" s="31" t="str">
        <x:f>IF(A132="","",IF(G132=0,0,L132/G132))</x:f>
      </x:c>
      <x:c r="O132" s="30"/>
      <x:c r="P132" s="30"/>
      <x:c r="Q132" s="30"/>
      <x:c r="R132" s="39"/>
      <x:c r="S132" s="39"/>
      <x:c r="T132" s="25"/>
      <x:c r="U132" s="25"/>
      <x:c r="V132" s="25"/>
      <x:c r="W132" s="25"/>
    </x:row>
    <x:row r="133">
      <x:c r="A133" s="25"/>
      <x:c r="B133" s="25"/>
      <x:c r="C133" s="25"/>
      <x:c r="D133" s="25"/>
      <x:c r="E133" s="39"/>
      <x:c r="F133" s="39"/>
      <x:c r="G133" s="30"/>
      <x:c r="H133" s="30"/>
      <x:c r="I133" s="25"/>
      <x:c r="J133" s="42" t="str">
        <x:f>IF(A133="","",E133+I133)</x:f>
      </x:c>
      <x:c r="K133" s="30"/>
      <x:c r="L133" s="30"/>
      <x:c r="M133" s="31" t="str">
        <x:f>IF(A133="","",IF(G133=0,0,K133/G133))</x:f>
      </x:c>
      <x:c r="N133" s="31" t="str">
        <x:f>IF(A133="","",IF(G133=0,0,L133/G133))</x:f>
      </x:c>
      <x:c r="O133" s="30"/>
      <x:c r="P133" s="30"/>
      <x:c r="Q133" s="30"/>
      <x:c r="R133" s="39"/>
      <x:c r="S133" s="39"/>
      <x:c r="T133" s="25"/>
      <x:c r="U133" s="25"/>
      <x:c r="V133" s="25"/>
      <x:c r="W133" s="25"/>
    </x:row>
    <x:row r="134">
      <x:c r="A134" s="25"/>
      <x:c r="B134" s="25"/>
      <x:c r="C134" s="25"/>
      <x:c r="D134" s="25"/>
      <x:c r="E134" s="39"/>
      <x:c r="F134" s="39"/>
      <x:c r="G134" s="30"/>
      <x:c r="H134" s="30"/>
      <x:c r="I134" s="25"/>
      <x:c r="J134" s="42" t="str">
        <x:f>IF(A134="","",E134+I134)</x:f>
      </x:c>
      <x:c r="K134" s="30"/>
      <x:c r="L134" s="30"/>
      <x:c r="M134" s="31" t="str">
        <x:f>IF(A134="","",IF(G134=0,0,K134/G134))</x:f>
      </x:c>
      <x:c r="N134" s="31" t="str">
        <x:f>IF(A134="","",IF(G134=0,0,L134/G134))</x:f>
      </x:c>
      <x:c r="O134" s="30"/>
      <x:c r="P134" s="30"/>
      <x:c r="Q134" s="30"/>
      <x:c r="R134" s="39"/>
      <x:c r="S134" s="39"/>
      <x:c r="T134" s="25"/>
      <x:c r="U134" s="25"/>
      <x:c r="V134" s="25"/>
      <x:c r="W134" s="25"/>
    </x:row>
    <x:row r="135">
      <x:c r="A135" s="25"/>
      <x:c r="B135" s="25"/>
      <x:c r="C135" s="25"/>
      <x:c r="D135" s="25"/>
      <x:c r="E135" s="39"/>
      <x:c r="F135" s="39"/>
      <x:c r="G135" s="30"/>
      <x:c r="H135" s="30"/>
      <x:c r="I135" s="25"/>
      <x:c r="J135" s="42" t="str">
        <x:f>IF(A135="","",E135+I135)</x:f>
      </x:c>
      <x:c r="K135" s="30"/>
      <x:c r="L135" s="30"/>
      <x:c r="M135" s="31" t="str">
        <x:f>IF(A135="","",IF(G135=0,0,K135/G135))</x:f>
      </x:c>
      <x:c r="N135" s="31" t="str">
        <x:f>IF(A135="","",IF(G135=0,0,L135/G135))</x:f>
      </x:c>
      <x:c r="O135" s="30"/>
      <x:c r="P135" s="30"/>
      <x:c r="Q135" s="30"/>
      <x:c r="R135" s="39"/>
      <x:c r="S135" s="39"/>
      <x:c r="T135" s="25"/>
      <x:c r="U135" s="25"/>
      <x:c r="V135" s="25"/>
      <x:c r="W135" s="25"/>
    </x:row>
    <x:row r="136">
      <x:c r="A136" s="25"/>
      <x:c r="B136" s="25"/>
      <x:c r="C136" s="25"/>
      <x:c r="D136" s="25"/>
      <x:c r="E136" s="39"/>
      <x:c r="F136" s="39"/>
      <x:c r="G136" s="30"/>
      <x:c r="H136" s="30"/>
      <x:c r="I136" s="25"/>
      <x:c r="J136" s="42" t="str">
        <x:f>IF(A136="","",E136+I136)</x:f>
      </x:c>
      <x:c r="K136" s="30"/>
      <x:c r="L136" s="30"/>
      <x:c r="M136" s="31" t="str">
        <x:f>IF(A136="","",IF(G136=0,0,K136/G136))</x:f>
      </x:c>
      <x:c r="N136" s="31" t="str">
        <x:f>IF(A136="","",IF(G136=0,0,L136/G136))</x:f>
      </x:c>
      <x:c r="O136" s="30"/>
      <x:c r="P136" s="30"/>
      <x:c r="Q136" s="30"/>
      <x:c r="R136" s="39"/>
      <x:c r="S136" s="39"/>
      <x:c r="T136" s="25"/>
      <x:c r="U136" s="25"/>
      <x:c r="V136" s="25"/>
      <x:c r="W136" s="25"/>
    </x:row>
    <x:row r="137">
      <x:c r="A137" s="25"/>
      <x:c r="B137" s="25"/>
      <x:c r="C137" s="25"/>
      <x:c r="D137" s="25"/>
      <x:c r="E137" s="39"/>
      <x:c r="F137" s="39"/>
      <x:c r="G137" s="30"/>
      <x:c r="H137" s="30"/>
      <x:c r="I137" s="25"/>
      <x:c r="J137" s="42" t="str">
        <x:f>IF(A137="","",E137+I137)</x:f>
      </x:c>
      <x:c r="K137" s="30"/>
      <x:c r="L137" s="30"/>
      <x:c r="M137" s="31" t="str">
        <x:f>IF(A137="","",IF(G137=0,0,K137/G137))</x:f>
      </x:c>
      <x:c r="N137" s="31" t="str">
        <x:f>IF(A137="","",IF(G137=0,0,L137/G137))</x:f>
      </x:c>
      <x:c r="O137" s="30"/>
      <x:c r="P137" s="30"/>
      <x:c r="Q137" s="30"/>
      <x:c r="R137" s="39"/>
      <x:c r="S137" s="39"/>
      <x:c r="T137" s="25"/>
      <x:c r="U137" s="25"/>
      <x:c r="V137" s="25"/>
      <x:c r="W137" s="25"/>
    </x:row>
    <x:row r="138">
      <x:c r="A138" s="25"/>
      <x:c r="B138" s="25"/>
      <x:c r="C138" s="25"/>
      <x:c r="D138" s="25"/>
      <x:c r="E138" s="39"/>
      <x:c r="F138" s="39"/>
      <x:c r="G138" s="30"/>
      <x:c r="H138" s="30"/>
      <x:c r="I138" s="25"/>
      <x:c r="J138" s="42" t="str">
        <x:f>IF(A138="","",E138+I138)</x:f>
      </x:c>
      <x:c r="K138" s="30"/>
      <x:c r="L138" s="30"/>
      <x:c r="M138" s="31" t="str">
        <x:f>IF(A138="","",IF(G138=0,0,K138/G138))</x:f>
      </x:c>
      <x:c r="N138" s="31" t="str">
        <x:f>IF(A138="","",IF(G138=0,0,L138/G138))</x:f>
      </x:c>
      <x:c r="O138" s="30"/>
      <x:c r="P138" s="30"/>
      <x:c r="Q138" s="30"/>
      <x:c r="R138" s="39"/>
      <x:c r="S138" s="39"/>
      <x:c r="T138" s="25"/>
      <x:c r="U138" s="25"/>
      <x:c r="V138" s="25"/>
      <x:c r="W138" s="25"/>
    </x:row>
    <x:row r="139">
      <x:c r="A139" s="25"/>
      <x:c r="B139" s="25"/>
      <x:c r="C139" s="25"/>
      <x:c r="D139" s="25"/>
      <x:c r="E139" s="39"/>
      <x:c r="F139" s="39"/>
      <x:c r="G139" s="30"/>
      <x:c r="H139" s="30"/>
      <x:c r="I139" s="25"/>
      <x:c r="J139" s="42" t="str">
        <x:f>IF(A139="","",E139+I139)</x:f>
      </x:c>
      <x:c r="K139" s="30"/>
      <x:c r="L139" s="30"/>
      <x:c r="M139" s="31" t="str">
        <x:f>IF(A139="","",IF(G139=0,0,K139/G139))</x:f>
      </x:c>
      <x:c r="N139" s="31" t="str">
        <x:f>IF(A139="","",IF(G139=0,0,L139/G139))</x:f>
      </x:c>
      <x:c r="O139" s="30"/>
      <x:c r="P139" s="30"/>
      <x:c r="Q139" s="30"/>
      <x:c r="R139" s="39"/>
      <x:c r="S139" s="39"/>
      <x:c r="T139" s="25"/>
      <x:c r="U139" s="25"/>
      <x:c r="V139" s="25"/>
      <x:c r="W139" s="25"/>
    </x:row>
    <x:row r="140">
      <x:c r="A140" s="25"/>
      <x:c r="B140" s="25"/>
      <x:c r="C140" s="25"/>
      <x:c r="D140" s="25"/>
      <x:c r="E140" s="39"/>
      <x:c r="F140" s="39"/>
      <x:c r="G140" s="30"/>
      <x:c r="H140" s="30"/>
      <x:c r="I140" s="25"/>
      <x:c r="J140" s="42" t="str">
        <x:f>IF(A140="","",E140+I140)</x:f>
      </x:c>
      <x:c r="K140" s="30"/>
      <x:c r="L140" s="30"/>
      <x:c r="M140" s="31" t="str">
        <x:f>IF(A140="","",IF(G140=0,0,K140/G140))</x:f>
      </x:c>
      <x:c r="N140" s="31" t="str">
        <x:f>IF(A140="","",IF(G140=0,0,L140/G140))</x:f>
      </x:c>
      <x:c r="O140" s="30"/>
      <x:c r="P140" s="30"/>
      <x:c r="Q140" s="30"/>
      <x:c r="R140" s="39"/>
      <x:c r="S140" s="39"/>
      <x:c r="T140" s="25"/>
      <x:c r="U140" s="25"/>
      <x:c r="V140" s="25"/>
      <x:c r="W140" s="25"/>
    </x:row>
    <x:row r="141">
      <x:c r="A141" s="25"/>
      <x:c r="B141" s="25"/>
      <x:c r="C141" s="25"/>
      <x:c r="D141" s="25"/>
      <x:c r="E141" s="39"/>
      <x:c r="F141" s="39"/>
      <x:c r="G141" s="30"/>
      <x:c r="H141" s="30"/>
      <x:c r="I141" s="25"/>
      <x:c r="J141" s="42" t="str">
        <x:f>IF(A141="","",E141+I141)</x:f>
      </x:c>
      <x:c r="K141" s="30"/>
      <x:c r="L141" s="30"/>
      <x:c r="M141" s="31" t="str">
        <x:f>IF(A141="","",IF(G141=0,0,K141/G141))</x:f>
      </x:c>
      <x:c r="N141" s="31" t="str">
        <x:f>IF(A141="","",IF(G141=0,0,L141/G141))</x:f>
      </x:c>
      <x:c r="O141" s="30"/>
      <x:c r="P141" s="30"/>
      <x:c r="Q141" s="30"/>
      <x:c r="R141" s="39"/>
      <x:c r="S141" s="39"/>
      <x:c r="T141" s="25"/>
      <x:c r="U141" s="25"/>
      <x:c r="V141" s="25"/>
      <x:c r="W141" s="25"/>
    </x:row>
    <x:row r="142">
      <x:c r="A142" s="25"/>
      <x:c r="B142" s="25"/>
      <x:c r="C142" s="25"/>
      <x:c r="D142" s="25"/>
      <x:c r="E142" s="39"/>
      <x:c r="F142" s="39"/>
      <x:c r="G142" s="30"/>
      <x:c r="H142" s="30"/>
      <x:c r="I142" s="25"/>
      <x:c r="J142" s="42" t="str">
        <x:f>IF(A142="","",E142+I142)</x:f>
      </x:c>
      <x:c r="K142" s="30"/>
      <x:c r="L142" s="30"/>
      <x:c r="M142" s="31" t="str">
        <x:f>IF(A142="","",IF(G142=0,0,K142/G142))</x:f>
      </x:c>
      <x:c r="N142" s="31" t="str">
        <x:f>IF(A142="","",IF(G142=0,0,L142/G142))</x:f>
      </x:c>
      <x:c r="O142" s="30"/>
      <x:c r="P142" s="30"/>
      <x:c r="Q142" s="30"/>
      <x:c r="R142" s="39"/>
      <x:c r="S142" s="39"/>
      <x:c r="T142" s="25"/>
      <x:c r="U142" s="25"/>
      <x:c r="V142" s="25"/>
      <x:c r="W142" s="25"/>
    </x:row>
    <x:row r="143">
      <x:c r="A143" s="25"/>
      <x:c r="B143" s="25"/>
      <x:c r="C143" s="25"/>
      <x:c r="D143" s="25"/>
      <x:c r="E143" s="39"/>
      <x:c r="F143" s="39"/>
      <x:c r="G143" s="30"/>
      <x:c r="H143" s="30"/>
      <x:c r="I143" s="25"/>
      <x:c r="J143" s="42" t="str">
        <x:f>IF(A143="","",E143+I143)</x:f>
      </x:c>
      <x:c r="K143" s="30"/>
      <x:c r="L143" s="30"/>
      <x:c r="M143" s="31" t="str">
        <x:f>IF(A143="","",IF(G143=0,0,K143/G143))</x:f>
      </x:c>
      <x:c r="N143" s="31" t="str">
        <x:f>IF(A143="","",IF(G143=0,0,L143/G143))</x:f>
      </x:c>
      <x:c r="O143" s="30"/>
      <x:c r="P143" s="30"/>
      <x:c r="Q143" s="30"/>
      <x:c r="R143" s="39"/>
      <x:c r="S143" s="39"/>
      <x:c r="T143" s="25"/>
      <x:c r="U143" s="25"/>
      <x:c r="V143" s="25"/>
      <x:c r="W143" s="25"/>
    </x:row>
    <x:row r="144">
      <x:c r="A144" s="25"/>
      <x:c r="B144" s="25"/>
      <x:c r="C144" s="25"/>
      <x:c r="D144" s="25"/>
      <x:c r="E144" s="39"/>
      <x:c r="F144" s="39"/>
      <x:c r="G144" s="30"/>
      <x:c r="H144" s="30"/>
      <x:c r="I144" s="25"/>
      <x:c r="J144" s="42" t="str">
        <x:f>IF(A144="","",E144+I144)</x:f>
      </x:c>
      <x:c r="K144" s="30"/>
      <x:c r="L144" s="30"/>
      <x:c r="M144" s="31" t="str">
        <x:f>IF(A144="","",IF(G144=0,0,K144/G144))</x:f>
      </x:c>
      <x:c r="N144" s="31" t="str">
        <x:f>IF(A144="","",IF(G144=0,0,L144/G144))</x:f>
      </x:c>
      <x:c r="O144" s="30"/>
      <x:c r="P144" s="30"/>
      <x:c r="Q144" s="30"/>
      <x:c r="R144" s="39"/>
      <x:c r="S144" s="39"/>
      <x:c r="T144" s="25"/>
      <x:c r="U144" s="25"/>
      <x:c r="V144" s="25"/>
      <x:c r="W144" s="25"/>
    </x:row>
    <x:row r="145">
      <x:c r="A145" s="25"/>
      <x:c r="B145" s="25"/>
      <x:c r="C145" s="25"/>
      <x:c r="D145" s="25"/>
      <x:c r="E145" s="39"/>
      <x:c r="F145" s="39"/>
      <x:c r="G145" s="30"/>
      <x:c r="H145" s="30"/>
      <x:c r="I145" s="25"/>
      <x:c r="J145" s="42" t="str">
        <x:f>IF(A145="","",E145+I145)</x:f>
      </x:c>
      <x:c r="K145" s="30"/>
      <x:c r="L145" s="30"/>
      <x:c r="M145" s="31" t="str">
        <x:f>IF(A145="","",IF(G145=0,0,K145/G145))</x:f>
      </x:c>
      <x:c r="N145" s="31" t="str">
        <x:f>IF(A145="","",IF(G145=0,0,L145/G145))</x:f>
      </x:c>
      <x:c r="O145" s="30"/>
      <x:c r="P145" s="30"/>
      <x:c r="Q145" s="30"/>
      <x:c r="R145" s="39"/>
      <x:c r="S145" s="39"/>
      <x:c r="T145" s="25"/>
      <x:c r="U145" s="25"/>
      <x:c r="V145" s="25"/>
      <x:c r="W145" s="25"/>
    </x:row>
    <x:row r="146">
      <x:c r="A146" s="25"/>
      <x:c r="B146" s="25"/>
      <x:c r="C146" s="25"/>
      <x:c r="D146" s="25"/>
      <x:c r="E146" s="39"/>
      <x:c r="F146" s="39"/>
      <x:c r="G146" s="30"/>
      <x:c r="H146" s="30"/>
      <x:c r="I146" s="25"/>
      <x:c r="J146" s="42" t="str">
        <x:f>IF(A146="","",E146+I146)</x:f>
      </x:c>
      <x:c r="K146" s="30"/>
      <x:c r="L146" s="30"/>
      <x:c r="M146" s="31" t="str">
        <x:f>IF(A146="","",IF(G146=0,0,K146/G146))</x:f>
      </x:c>
      <x:c r="N146" s="31" t="str">
        <x:f>IF(A146="","",IF(G146=0,0,L146/G146))</x:f>
      </x:c>
      <x:c r="O146" s="30"/>
      <x:c r="P146" s="30"/>
      <x:c r="Q146" s="30"/>
      <x:c r="R146" s="39"/>
      <x:c r="S146" s="39"/>
      <x:c r="T146" s="25"/>
      <x:c r="U146" s="25"/>
      <x:c r="V146" s="25"/>
      <x:c r="W146" s="25"/>
    </x:row>
    <x:row r="147">
      <x:c r="A147" s="25"/>
      <x:c r="B147" s="25"/>
      <x:c r="C147" s="25"/>
      <x:c r="D147" s="25"/>
      <x:c r="E147" s="39"/>
      <x:c r="F147" s="39"/>
      <x:c r="G147" s="30"/>
      <x:c r="H147" s="30"/>
      <x:c r="I147" s="25"/>
      <x:c r="J147" s="42" t="str">
        <x:f>IF(A147="","",E147+I147)</x:f>
      </x:c>
      <x:c r="K147" s="30"/>
      <x:c r="L147" s="30"/>
      <x:c r="M147" s="31" t="str">
        <x:f>IF(A147="","",IF(G147=0,0,K147/G147))</x:f>
      </x:c>
      <x:c r="N147" s="31" t="str">
        <x:f>IF(A147="","",IF(G147=0,0,L147/G147))</x:f>
      </x:c>
      <x:c r="O147" s="30"/>
      <x:c r="P147" s="30"/>
      <x:c r="Q147" s="30"/>
      <x:c r="R147" s="39"/>
      <x:c r="S147" s="39"/>
      <x:c r="T147" s="25"/>
      <x:c r="U147" s="25"/>
      <x:c r="V147" s="25"/>
      <x:c r="W147" s="25"/>
    </x:row>
    <x:row r="148">
      <x:c r="A148" s="25"/>
      <x:c r="B148" s="25"/>
      <x:c r="C148" s="25"/>
      <x:c r="D148" s="25"/>
      <x:c r="E148" s="39"/>
      <x:c r="F148" s="39"/>
      <x:c r="G148" s="30"/>
      <x:c r="H148" s="30"/>
      <x:c r="I148" s="25"/>
      <x:c r="J148" s="42" t="str">
        <x:f>IF(A148="","",E148+I148)</x:f>
      </x:c>
      <x:c r="K148" s="30"/>
      <x:c r="L148" s="30"/>
      <x:c r="M148" s="31" t="str">
        <x:f>IF(A148="","",IF(G148=0,0,K148/G148))</x:f>
      </x:c>
      <x:c r="N148" s="31" t="str">
        <x:f>IF(A148="","",IF(G148=0,0,L148/G148))</x:f>
      </x:c>
      <x:c r="O148" s="30"/>
      <x:c r="P148" s="30"/>
      <x:c r="Q148" s="30"/>
      <x:c r="R148" s="39"/>
      <x:c r="S148" s="39"/>
      <x:c r="T148" s="25"/>
      <x:c r="U148" s="25"/>
      <x:c r="V148" s="25"/>
      <x:c r="W148" s="25"/>
    </x:row>
    <x:row r="149">
      <x:c r="A149" s="25"/>
      <x:c r="B149" s="25"/>
      <x:c r="C149" s="25"/>
      <x:c r="D149" s="25"/>
      <x:c r="E149" s="39"/>
      <x:c r="F149" s="39"/>
      <x:c r="G149" s="30"/>
      <x:c r="H149" s="30"/>
      <x:c r="I149" s="25"/>
      <x:c r="J149" s="42" t="str">
        <x:f>IF(A149="","",E149+I149)</x:f>
      </x:c>
      <x:c r="K149" s="30"/>
      <x:c r="L149" s="30"/>
      <x:c r="M149" s="31" t="str">
        <x:f>IF(A149="","",IF(G149=0,0,K149/G149))</x:f>
      </x:c>
      <x:c r="N149" s="31" t="str">
        <x:f>IF(A149="","",IF(G149=0,0,L149/G149))</x:f>
      </x:c>
      <x:c r="O149" s="30"/>
      <x:c r="P149" s="30"/>
      <x:c r="Q149" s="30"/>
      <x:c r="R149" s="39"/>
      <x:c r="S149" s="39"/>
      <x:c r="T149" s="25"/>
      <x:c r="U149" s="25"/>
      <x:c r="V149" s="25"/>
      <x:c r="W149" s="25"/>
    </x:row>
    <x:row r="150">
      <x:c r="A150" s="25"/>
      <x:c r="B150" s="25"/>
      <x:c r="C150" s="25"/>
      <x:c r="D150" s="25"/>
      <x:c r="E150" s="39"/>
      <x:c r="F150" s="39"/>
      <x:c r="G150" s="30"/>
      <x:c r="H150" s="30"/>
      <x:c r="I150" s="25"/>
      <x:c r="J150" s="42" t="str">
        <x:f>IF(A150="","",E150+I150)</x:f>
      </x:c>
      <x:c r="K150" s="30"/>
      <x:c r="L150" s="30"/>
      <x:c r="M150" s="31" t="str">
        <x:f>IF(A150="","",IF(G150=0,0,K150/G150))</x:f>
      </x:c>
      <x:c r="N150" s="31" t="str">
        <x:f>IF(A150="","",IF(G150=0,0,L150/G150))</x:f>
      </x:c>
      <x:c r="O150" s="30"/>
      <x:c r="P150" s="30"/>
      <x:c r="Q150" s="30"/>
      <x:c r="R150" s="39"/>
      <x:c r="S150" s="39"/>
      <x:c r="T150" s="25"/>
      <x:c r="U150" s="25"/>
      <x:c r="V150" s="25"/>
      <x:c r="W150" s="25"/>
    </x:row>
    <x:row r="151">
      <x:c r="A151" s="25"/>
      <x:c r="B151" s="25"/>
      <x:c r="C151" s="25"/>
      <x:c r="D151" s="25"/>
      <x:c r="E151" s="39"/>
      <x:c r="F151" s="39"/>
      <x:c r="G151" s="30"/>
      <x:c r="H151" s="30"/>
      <x:c r="I151" s="25"/>
      <x:c r="J151" s="42" t="str">
        <x:f>IF(A151="","",E151+I151)</x:f>
      </x:c>
      <x:c r="K151" s="30"/>
      <x:c r="L151" s="30"/>
      <x:c r="M151" s="31" t="str">
        <x:f>IF(A151="","",IF(G151=0,0,K151/G151))</x:f>
      </x:c>
      <x:c r="N151" s="31" t="str">
        <x:f>IF(A151="","",IF(G151=0,0,L151/G151))</x:f>
      </x:c>
      <x:c r="O151" s="30"/>
      <x:c r="P151" s="30"/>
      <x:c r="Q151" s="30"/>
      <x:c r="R151" s="39"/>
      <x:c r="S151" s="39"/>
      <x:c r="T151" s="25"/>
      <x:c r="U151" s="25"/>
      <x:c r="V151" s="25"/>
      <x:c r="W151" s="25"/>
    </x:row>
    <x:row r="152">
      <x:c r="A152" s="25"/>
      <x:c r="B152" s="25"/>
      <x:c r="C152" s="25"/>
      <x:c r="D152" s="25"/>
      <x:c r="E152" s="39"/>
      <x:c r="F152" s="39"/>
      <x:c r="G152" s="30"/>
      <x:c r="H152" s="30"/>
      <x:c r="I152" s="25"/>
      <x:c r="J152" s="42" t="str">
        <x:f>IF(A152="","",E152+I152)</x:f>
      </x:c>
      <x:c r="K152" s="30"/>
      <x:c r="L152" s="30"/>
      <x:c r="M152" s="31" t="str">
        <x:f>IF(A152="","",IF(G152=0,0,K152/G152))</x:f>
      </x:c>
      <x:c r="N152" s="31" t="str">
        <x:f>IF(A152="","",IF(G152=0,0,L152/G152))</x:f>
      </x:c>
      <x:c r="O152" s="30"/>
      <x:c r="P152" s="30"/>
      <x:c r="Q152" s="30"/>
      <x:c r="R152" s="39"/>
      <x:c r="S152" s="39"/>
      <x:c r="T152" s="25"/>
      <x:c r="U152" s="25"/>
      <x:c r="V152" s="25"/>
      <x:c r="W152" s="25"/>
    </x:row>
    <x:row r="153">
      <x:c r="A153" s="25"/>
      <x:c r="B153" s="25"/>
      <x:c r="C153" s="25"/>
      <x:c r="D153" s="25"/>
      <x:c r="E153" s="39"/>
      <x:c r="F153" s="39"/>
      <x:c r="G153" s="30"/>
      <x:c r="H153" s="30"/>
      <x:c r="I153" s="25"/>
      <x:c r="J153" s="42" t="str">
        <x:f>IF(A153="","",E153+I153)</x:f>
      </x:c>
      <x:c r="K153" s="30"/>
      <x:c r="L153" s="30"/>
      <x:c r="M153" s="31" t="str">
        <x:f>IF(A153="","",IF(G153=0,0,K153/G153))</x:f>
      </x:c>
      <x:c r="N153" s="31" t="str">
        <x:f>IF(A153="","",IF(G153=0,0,L153/G153))</x:f>
      </x:c>
      <x:c r="O153" s="30"/>
      <x:c r="P153" s="30"/>
      <x:c r="Q153" s="30"/>
      <x:c r="R153" s="39"/>
      <x:c r="S153" s="39"/>
      <x:c r="T153" s="25"/>
      <x:c r="U153" s="25"/>
      <x:c r="V153" s="25"/>
      <x:c r="W153" s="25"/>
    </x:row>
    <x:row r="154">
      <x:c r="A154" s="25"/>
      <x:c r="B154" s="25"/>
      <x:c r="C154" s="25"/>
      <x:c r="D154" s="25"/>
      <x:c r="E154" s="39"/>
      <x:c r="F154" s="39"/>
      <x:c r="G154" s="30"/>
      <x:c r="H154" s="30"/>
      <x:c r="I154" s="25"/>
      <x:c r="J154" s="42" t="str">
        <x:f>IF(A154="","",E154+I154)</x:f>
      </x:c>
      <x:c r="K154" s="30"/>
      <x:c r="L154" s="30"/>
      <x:c r="M154" s="31" t="str">
        <x:f>IF(A154="","",IF(G154=0,0,K154/G154))</x:f>
      </x:c>
      <x:c r="N154" s="31" t="str">
        <x:f>IF(A154="","",IF(G154=0,0,L154/G154))</x:f>
      </x:c>
      <x:c r="O154" s="30"/>
      <x:c r="P154" s="30"/>
      <x:c r="Q154" s="30"/>
      <x:c r="R154" s="39"/>
      <x:c r="S154" s="39"/>
      <x:c r="T154" s="25"/>
      <x:c r="U154" s="25"/>
      <x:c r="V154" s="25"/>
      <x:c r="W154" s="25"/>
    </x:row>
    <x:row r="155">
      <x:c r="A155" s="25"/>
      <x:c r="B155" s="25"/>
      <x:c r="C155" s="25"/>
      <x:c r="D155" s="25"/>
      <x:c r="E155" s="39"/>
      <x:c r="F155" s="39"/>
      <x:c r="G155" s="30"/>
      <x:c r="H155" s="30"/>
      <x:c r="I155" s="25"/>
      <x:c r="J155" s="42" t="str">
        <x:f>IF(A155="","",E155+I155)</x:f>
      </x:c>
      <x:c r="K155" s="30"/>
      <x:c r="L155" s="30"/>
      <x:c r="M155" s="31" t="str">
        <x:f>IF(A155="","",IF(G155=0,0,K155/G155))</x:f>
      </x:c>
      <x:c r="N155" s="31" t="str">
        <x:f>IF(A155="","",IF(G155=0,0,L155/G155))</x:f>
      </x:c>
      <x:c r="O155" s="30"/>
      <x:c r="P155" s="30"/>
      <x:c r="Q155" s="30"/>
      <x:c r="R155" s="39"/>
      <x:c r="S155" s="39"/>
      <x:c r="T155" s="25"/>
      <x:c r="U155" s="25"/>
      <x:c r="V155" s="25"/>
      <x:c r="W155" s="25"/>
    </x:row>
    <x:row r="156">
      <x:c r="A156" s="25"/>
      <x:c r="B156" s="25"/>
      <x:c r="C156" s="25"/>
      <x:c r="D156" s="25"/>
      <x:c r="E156" s="39"/>
      <x:c r="F156" s="39"/>
      <x:c r="G156" s="30"/>
      <x:c r="H156" s="30"/>
      <x:c r="I156" s="25"/>
      <x:c r="J156" s="42" t="str">
        <x:f>IF(A156="","",E156+I156)</x:f>
      </x:c>
      <x:c r="K156" s="30"/>
      <x:c r="L156" s="30"/>
      <x:c r="M156" s="31" t="str">
        <x:f>IF(A156="","",IF(G156=0,0,K156/G156))</x:f>
      </x:c>
      <x:c r="N156" s="31" t="str">
        <x:f>IF(A156="","",IF(G156=0,0,L156/G156))</x:f>
      </x:c>
      <x:c r="O156" s="30"/>
      <x:c r="P156" s="30"/>
      <x:c r="Q156" s="30"/>
      <x:c r="R156" s="39"/>
      <x:c r="S156" s="39"/>
      <x:c r="T156" s="25"/>
      <x:c r="U156" s="25"/>
      <x:c r="V156" s="25"/>
      <x:c r="W156" s="25"/>
    </x:row>
    <x:row r="157">
      <x:c r="A157" s="25"/>
      <x:c r="B157" s="25"/>
      <x:c r="C157" s="25"/>
      <x:c r="D157" s="25"/>
      <x:c r="E157" s="39"/>
      <x:c r="F157" s="39"/>
      <x:c r="G157" s="30"/>
      <x:c r="H157" s="30"/>
      <x:c r="I157" s="25"/>
      <x:c r="J157" s="42" t="str">
        <x:f>IF(A157="","",E157+I157)</x:f>
      </x:c>
      <x:c r="K157" s="30"/>
      <x:c r="L157" s="30"/>
      <x:c r="M157" s="31" t="str">
        <x:f>IF(A157="","",IF(G157=0,0,K157/G157))</x:f>
      </x:c>
      <x:c r="N157" s="31" t="str">
        <x:f>IF(A157="","",IF(G157=0,0,L157/G157))</x:f>
      </x:c>
      <x:c r="O157" s="30"/>
      <x:c r="P157" s="30"/>
      <x:c r="Q157" s="30"/>
      <x:c r="R157" s="39"/>
      <x:c r="S157" s="39"/>
      <x:c r="T157" s="25"/>
      <x:c r="U157" s="25"/>
      <x:c r="V157" s="25"/>
      <x:c r="W157" s="25"/>
    </x:row>
    <x:row r="158">
      <x:c r="A158" s="25"/>
      <x:c r="B158" s="25"/>
      <x:c r="C158" s="25"/>
      <x:c r="D158" s="25"/>
      <x:c r="E158" s="39"/>
      <x:c r="F158" s="39"/>
      <x:c r="G158" s="30"/>
      <x:c r="H158" s="30"/>
      <x:c r="I158" s="25"/>
      <x:c r="J158" s="42" t="str">
        <x:f>IF(A158="","",E158+I158)</x:f>
      </x:c>
      <x:c r="K158" s="30"/>
      <x:c r="L158" s="30"/>
      <x:c r="M158" s="31" t="str">
        <x:f>IF(A158="","",IF(G158=0,0,K158/G158))</x:f>
      </x:c>
      <x:c r="N158" s="31" t="str">
        <x:f>IF(A158="","",IF(G158=0,0,L158/G158))</x:f>
      </x:c>
      <x:c r="O158" s="30"/>
      <x:c r="P158" s="30"/>
      <x:c r="Q158" s="30"/>
      <x:c r="R158" s="39"/>
      <x:c r="S158" s="39"/>
      <x:c r="T158" s="25"/>
      <x:c r="U158" s="25"/>
      <x:c r="V158" s="25"/>
      <x:c r="W158" s="25"/>
    </x:row>
    <x:row r="159">
      <x:c r="A159" s="25"/>
      <x:c r="B159" s="25"/>
      <x:c r="C159" s="25"/>
      <x:c r="D159" s="25"/>
      <x:c r="E159" s="39"/>
      <x:c r="F159" s="39"/>
      <x:c r="G159" s="30"/>
      <x:c r="H159" s="30"/>
      <x:c r="I159" s="25"/>
      <x:c r="J159" s="42" t="str">
        <x:f>IF(A159="","",E159+I159)</x:f>
      </x:c>
      <x:c r="K159" s="30"/>
      <x:c r="L159" s="30"/>
      <x:c r="M159" s="31" t="str">
        <x:f>IF(A159="","",IF(G159=0,0,K159/G159))</x:f>
      </x:c>
      <x:c r="N159" s="31" t="str">
        <x:f>IF(A159="","",IF(G159=0,0,L159/G159))</x:f>
      </x:c>
      <x:c r="O159" s="30"/>
      <x:c r="P159" s="30"/>
      <x:c r="Q159" s="30"/>
      <x:c r="R159" s="39"/>
      <x:c r="S159" s="39"/>
      <x:c r="T159" s="25"/>
      <x:c r="U159" s="25"/>
      <x:c r="V159" s="25"/>
      <x:c r="W159" s="25"/>
    </x:row>
    <x:row r="160">
      <x:c r="A160" s="25"/>
      <x:c r="B160" s="25"/>
      <x:c r="C160" s="25"/>
      <x:c r="D160" s="25"/>
      <x:c r="E160" s="39"/>
      <x:c r="F160" s="39"/>
      <x:c r="G160" s="30"/>
      <x:c r="H160" s="30"/>
      <x:c r="I160" s="25"/>
      <x:c r="J160" s="42" t="str">
        <x:f>IF(A160="","",E160+I160)</x:f>
      </x:c>
      <x:c r="K160" s="30"/>
      <x:c r="L160" s="30"/>
      <x:c r="M160" s="31" t="str">
        <x:f>IF(A160="","",IF(G160=0,0,K160/G160))</x:f>
      </x:c>
      <x:c r="N160" s="31" t="str">
        <x:f>IF(A160="","",IF(G160=0,0,L160/G160))</x:f>
      </x:c>
      <x:c r="O160" s="30"/>
      <x:c r="P160" s="30"/>
      <x:c r="Q160" s="30"/>
      <x:c r="R160" s="39"/>
      <x:c r="S160" s="39"/>
      <x:c r="T160" s="25"/>
      <x:c r="U160" s="25"/>
      <x:c r="V160" s="25"/>
      <x:c r="W160" s="25"/>
    </x:row>
    <x:row r="161">
      <x:c r="A161" s="25"/>
      <x:c r="B161" s="25"/>
      <x:c r="C161" s="25"/>
      <x:c r="D161" s="25"/>
      <x:c r="E161" s="39"/>
      <x:c r="F161" s="39"/>
      <x:c r="G161" s="30"/>
      <x:c r="H161" s="30"/>
      <x:c r="I161" s="25"/>
      <x:c r="J161" s="42" t="str">
        <x:f>IF(A161="","",E161+I161)</x:f>
      </x:c>
      <x:c r="K161" s="30"/>
      <x:c r="L161" s="30"/>
      <x:c r="M161" s="31" t="str">
        <x:f>IF(A161="","",IF(G161=0,0,K161/G161))</x:f>
      </x:c>
      <x:c r="N161" s="31" t="str">
        <x:f>IF(A161="","",IF(G161=0,0,L161/G161))</x:f>
      </x:c>
      <x:c r="O161" s="30"/>
      <x:c r="P161" s="30"/>
      <x:c r="Q161" s="30"/>
      <x:c r="R161" s="39"/>
      <x:c r="S161" s="39"/>
      <x:c r="T161" s="25"/>
      <x:c r="U161" s="25"/>
      <x:c r="V161" s="25"/>
      <x:c r="W161" s="25"/>
    </x:row>
    <x:row r="162">
      <x:c r="A162" s="25"/>
      <x:c r="B162" s="25"/>
      <x:c r="C162" s="25"/>
      <x:c r="D162" s="25"/>
      <x:c r="E162" s="39"/>
      <x:c r="F162" s="39"/>
      <x:c r="G162" s="30"/>
      <x:c r="H162" s="30"/>
      <x:c r="I162" s="25"/>
      <x:c r="J162" s="42" t="str">
        <x:f>IF(A162="","",E162+I162)</x:f>
      </x:c>
      <x:c r="K162" s="30"/>
      <x:c r="L162" s="30"/>
      <x:c r="M162" s="31" t="str">
        <x:f>IF(A162="","",IF(G162=0,0,K162/G162))</x:f>
      </x:c>
      <x:c r="N162" s="31" t="str">
        <x:f>IF(A162="","",IF(G162=0,0,L162/G162))</x:f>
      </x:c>
      <x:c r="O162" s="30"/>
      <x:c r="P162" s="30"/>
      <x:c r="Q162" s="30"/>
      <x:c r="R162" s="39"/>
      <x:c r="S162" s="39"/>
      <x:c r="T162" s="25"/>
      <x:c r="U162" s="25"/>
      <x:c r="V162" s="25"/>
      <x:c r="W162" s="25"/>
    </x:row>
    <x:row r="163">
      <x:c r="A163" s="25"/>
      <x:c r="B163" s="25"/>
      <x:c r="C163" s="25"/>
      <x:c r="D163" s="25"/>
      <x:c r="E163" s="39"/>
      <x:c r="F163" s="39"/>
      <x:c r="G163" s="30"/>
      <x:c r="H163" s="30"/>
      <x:c r="I163" s="25"/>
      <x:c r="J163" s="42" t="str">
        <x:f>IF(A163="","",E163+I163)</x:f>
      </x:c>
      <x:c r="K163" s="30"/>
      <x:c r="L163" s="30"/>
      <x:c r="M163" s="31" t="str">
        <x:f>IF(A163="","",IF(G163=0,0,K163/G163))</x:f>
      </x:c>
      <x:c r="N163" s="31" t="str">
        <x:f>IF(A163="","",IF(G163=0,0,L163/G163))</x:f>
      </x:c>
      <x:c r="O163" s="30"/>
      <x:c r="P163" s="30"/>
      <x:c r="Q163" s="30"/>
      <x:c r="R163" s="39"/>
      <x:c r="S163" s="39"/>
      <x:c r="T163" s="25"/>
      <x:c r="U163" s="25"/>
      <x:c r="V163" s="25"/>
      <x:c r="W163" s="25"/>
    </x:row>
    <x:row r="164">
      <x:c r="A164" s="25"/>
      <x:c r="B164" s="25"/>
      <x:c r="C164" s="25"/>
      <x:c r="D164" s="25"/>
      <x:c r="E164" s="39"/>
      <x:c r="F164" s="39"/>
      <x:c r="G164" s="30"/>
      <x:c r="H164" s="30"/>
      <x:c r="I164" s="25"/>
      <x:c r="J164" s="42" t="str">
        <x:f>IF(A164="","",E164+I164)</x:f>
      </x:c>
      <x:c r="K164" s="30"/>
      <x:c r="L164" s="30"/>
      <x:c r="M164" s="31" t="str">
        <x:f>IF(A164="","",IF(G164=0,0,K164/G164))</x:f>
      </x:c>
      <x:c r="N164" s="31" t="str">
        <x:f>IF(A164="","",IF(G164=0,0,L164/G164))</x:f>
      </x:c>
      <x:c r="O164" s="30"/>
      <x:c r="P164" s="30"/>
      <x:c r="Q164" s="30"/>
      <x:c r="R164" s="39"/>
      <x:c r="S164" s="39"/>
      <x:c r="T164" s="25"/>
      <x:c r="U164" s="25"/>
      <x:c r="V164" s="25"/>
      <x:c r="W164" s="25"/>
    </x:row>
    <x:row r="165">
      <x:c r="A165" s="25"/>
      <x:c r="B165" s="25"/>
      <x:c r="C165" s="25"/>
      <x:c r="D165" s="25"/>
      <x:c r="E165" s="39"/>
      <x:c r="F165" s="39"/>
      <x:c r="G165" s="30"/>
      <x:c r="H165" s="30"/>
      <x:c r="I165" s="25"/>
      <x:c r="J165" s="42" t="str">
        <x:f>IF(A165="","",E165+I165)</x:f>
      </x:c>
      <x:c r="K165" s="30"/>
      <x:c r="L165" s="30"/>
      <x:c r="M165" s="31" t="str">
        <x:f>IF(A165="","",IF(G165=0,0,K165/G165))</x:f>
      </x:c>
      <x:c r="N165" s="31" t="str">
        <x:f>IF(A165="","",IF(G165=0,0,L165/G165))</x:f>
      </x:c>
      <x:c r="O165" s="30"/>
      <x:c r="P165" s="30"/>
      <x:c r="Q165" s="30"/>
      <x:c r="R165" s="39"/>
      <x:c r="S165" s="39"/>
      <x:c r="T165" s="25"/>
      <x:c r="U165" s="25"/>
      <x:c r="V165" s="25"/>
      <x:c r="W165" s="25"/>
    </x:row>
    <x:row r="166">
      <x:c r="A166" s="25"/>
      <x:c r="B166" s="25"/>
      <x:c r="C166" s="25"/>
      <x:c r="D166" s="25"/>
      <x:c r="E166" s="39"/>
      <x:c r="F166" s="39"/>
      <x:c r="G166" s="30"/>
      <x:c r="H166" s="30"/>
      <x:c r="I166" s="25"/>
      <x:c r="J166" s="42" t="str">
        <x:f>IF(A166="","",E166+I166)</x:f>
      </x:c>
      <x:c r="K166" s="30"/>
      <x:c r="L166" s="30"/>
      <x:c r="M166" s="31" t="str">
        <x:f>IF(A166="","",IF(G166=0,0,K166/G166))</x:f>
      </x:c>
      <x:c r="N166" s="31" t="str">
        <x:f>IF(A166="","",IF(G166=0,0,L166/G166))</x:f>
      </x:c>
      <x:c r="O166" s="30"/>
      <x:c r="P166" s="30"/>
      <x:c r="Q166" s="30"/>
      <x:c r="R166" s="39"/>
      <x:c r="S166" s="39"/>
      <x:c r="T166" s="25"/>
      <x:c r="U166" s="25"/>
      <x:c r="V166" s="25"/>
      <x:c r="W166" s="25"/>
    </x:row>
    <x:row r="167">
      <x:c r="A167" s="25"/>
      <x:c r="B167" s="25"/>
      <x:c r="C167" s="25"/>
      <x:c r="D167" s="25"/>
      <x:c r="E167" s="39"/>
      <x:c r="F167" s="39"/>
      <x:c r="G167" s="30"/>
      <x:c r="H167" s="30"/>
      <x:c r="I167" s="25"/>
      <x:c r="J167" s="42" t="str">
        <x:f>IF(A167="","",E167+I167)</x:f>
      </x:c>
      <x:c r="K167" s="30"/>
      <x:c r="L167" s="30"/>
      <x:c r="M167" s="31" t="str">
        <x:f>IF(A167="","",IF(G167=0,0,K167/G167))</x:f>
      </x:c>
      <x:c r="N167" s="31" t="str">
        <x:f>IF(A167="","",IF(G167=0,0,L167/G167))</x:f>
      </x:c>
      <x:c r="O167" s="30"/>
      <x:c r="P167" s="30"/>
      <x:c r="Q167" s="30"/>
      <x:c r="R167" s="39"/>
      <x:c r="S167" s="39"/>
      <x:c r="T167" s="25"/>
      <x:c r="U167" s="25"/>
      <x:c r="V167" s="25"/>
      <x:c r="W167" s="25"/>
    </x:row>
    <x:row r="168">
      <x:c r="A168" s="25"/>
      <x:c r="B168" s="25"/>
      <x:c r="C168" s="25"/>
      <x:c r="D168" s="25"/>
      <x:c r="E168" s="39"/>
      <x:c r="F168" s="39"/>
      <x:c r="G168" s="30"/>
      <x:c r="H168" s="30"/>
      <x:c r="I168" s="25"/>
      <x:c r="J168" s="42" t="str">
        <x:f>IF(A168="","",E168+I168)</x:f>
      </x:c>
      <x:c r="K168" s="30"/>
      <x:c r="L168" s="30"/>
      <x:c r="M168" s="31" t="str">
        <x:f>IF(A168="","",IF(G168=0,0,K168/G168))</x:f>
      </x:c>
      <x:c r="N168" s="31" t="str">
        <x:f>IF(A168="","",IF(G168=0,0,L168/G168))</x:f>
      </x:c>
      <x:c r="O168" s="30"/>
      <x:c r="P168" s="30"/>
      <x:c r="Q168" s="30"/>
      <x:c r="R168" s="39"/>
      <x:c r="S168" s="39"/>
      <x:c r="T168" s="25"/>
      <x:c r="U168" s="25"/>
      <x:c r="V168" s="25"/>
      <x:c r="W168" s="25"/>
    </x:row>
    <x:row r="169">
      <x:c r="A169" s="25"/>
      <x:c r="B169" s="25"/>
      <x:c r="C169" s="25"/>
      <x:c r="D169" s="25"/>
      <x:c r="E169" s="39"/>
      <x:c r="F169" s="39"/>
      <x:c r="G169" s="30"/>
      <x:c r="H169" s="30"/>
      <x:c r="I169" s="25"/>
      <x:c r="J169" s="42" t="str">
        <x:f>IF(A169="","",E169+I169)</x:f>
      </x:c>
      <x:c r="K169" s="30"/>
      <x:c r="L169" s="30"/>
      <x:c r="M169" s="31" t="str">
        <x:f>IF(A169="","",IF(G169=0,0,K169/G169))</x:f>
      </x:c>
      <x:c r="N169" s="31" t="str">
        <x:f>IF(A169="","",IF(G169=0,0,L169/G169))</x:f>
      </x:c>
      <x:c r="O169" s="30"/>
      <x:c r="P169" s="30"/>
      <x:c r="Q169" s="30"/>
      <x:c r="R169" s="39"/>
      <x:c r="S169" s="39"/>
      <x:c r="T169" s="25"/>
      <x:c r="U169" s="25"/>
      <x:c r="V169" s="25"/>
      <x:c r="W169" s="25"/>
    </x:row>
    <x:row r="170">
      <x:c r="A170" s="25"/>
      <x:c r="B170" s="25"/>
      <x:c r="C170" s="25"/>
      <x:c r="D170" s="25"/>
      <x:c r="E170" s="39"/>
      <x:c r="F170" s="39"/>
      <x:c r="G170" s="30"/>
      <x:c r="H170" s="30"/>
      <x:c r="I170" s="25"/>
      <x:c r="J170" s="42" t="str">
        <x:f>IF(A170="","",E170+I170)</x:f>
      </x:c>
      <x:c r="K170" s="30"/>
      <x:c r="L170" s="30"/>
      <x:c r="M170" s="31" t="str">
        <x:f>IF(A170="","",IF(G170=0,0,K170/G170))</x:f>
      </x:c>
      <x:c r="N170" s="31" t="str">
        <x:f>IF(A170="","",IF(G170=0,0,L170/G170))</x:f>
      </x:c>
      <x:c r="O170" s="30"/>
      <x:c r="P170" s="30"/>
      <x:c r="Q170" s="30"/>
      <x:c r="R170" s="39"/>
      <x:c r="S170" s="39"/>
      <x:c r="T170" s="25"/>
      <x:c r="U170" s="25"/>
      <x:c r="V170" s="25"/>
      <x:c r="W170" s="25"/>
    </x:row>
    <x:row r="171">
      <x:c r="A171" s="25"/>
      <x:c r="B171" s="25"/>
      <x:c r="C171" s="25"/>
      <x:c r="D171" s="25"/>
      <x:c r="E171" s="39"/>
      <x:c r="F171" s="39"/>
      <x:c r="G171" s="30"/>
      <x:c r="H171" s="30"/>
      <x:c r="I171" s="25"/>
      <x:c r="J171" s="42" t="str">
        <x:f>IF(A171="","",E171+I171)</x:f>
      </x:c>
      <x:c r="K171" s="30"/>
      <x:c r="L171" s="30"/>
      <x:c r="M171" s="31" t="str">
        <x:f>IF(A171="","",IF(G171=0,0,K171/G171))</x:f>
      </x:c>
      <x:c r="N171" s="31" t="str">
        <x:f>IF(A171="","",IF(G171=0,0,L171/G171))</x:f>
      </x:c>
      <x:c r="O171" s="30"/>
      <x:c r="P171" s="30"/>
      <x:c r="Q171" s="30"/>
      <x:c r="R171" s="39"/>
      <x:c r="S171" s="39"/>
      <x:c r="T171" s="25"/>
      <x:c r="U171" s="25"/>
      <x:c r="V171" s="25"/>
      <x:c r="W171" s="25"/>
    </x:row>
    <x:row r="172">
      <x:c r="A172" s="25"/>
      <x:c r="B172" s="25"/>
      <x:c r="C172" s="25"/>
      <x:c r="D172" s="25"/>
      <x:c r="E172" s="39"/>
      <x:c r="F172" s="39"/>
      <x:c r="G172" s="30"/>
      <x:c r="H172" s="30"/>
      <x:c r="I172" s="25"/>
      <x:c r="J172" s="42" t="str">
        <x:f>IF(A172="","",E172+I172)</x:f>
      </x:c>
      <x:c r="K172" s="30"/>
      <x:c r="L172" s="30"/>
      <x:c r="M172" s="31" t="str">
        <x:f>IF(A172="","",IF(G172=0,0,K172/G172))</x:f>
      </x:c>
      <x:c r="N172" s="31" t="str">
        <x:f>IF(A172="","",IF(G172=0,0,L172/G172))</x:f>
      </x:c>
      <x:c r="O172" s="30"/>
      <x:c r="P172" s="30"/>
      <x:c r="Q172" s="30"/>
      <x:c r="R172" s="39"/>
      <x:c r="S172" s="39"/>
      <x:c r="T172" s="25"/>
      <x:c r="U172" s="25"/>
      <x:c r="V172" s="25"/>
      <x:c r="W172" s="25"/>
    </x:row>
    <x:row r="173">
      <x:c r="A173" s="25"/>
      <x:c r="B173" s="25"/>
      <x:c r="C173" s="25"/>
      <x:c r="D173" s="25"/>
      <x:c r="E173" s="39"/>
      <x:c r="F173" s="39"/>
      <x:c r="G173" s="30"/>
      <x:c r="H173" s="30"/>
      <x:c r="I173" s="25"/>
      <x:c r="J173" s="42" t="str">
        <x:f>IF(A173="","",E173+I173)</x:f>
      </x:c>
      <x:c r="K173" s="30"/>
      <x:c r="L173" s="30"/>
      <x:c r="M173" s="31" t="str">
        <x:f>IF(A173="","",IF(G173=0,0,K173/G173))</x:f>
      </x:c>
      <x:c r="N173" s="31" t="str">
        <x:f>IF(A173="","",IF(G173=0,0,L173/G173))</x:f>
      </x:c>
      <x:c r="O173" s="30"/>
      <x:c r="P173" s="30"/>
      <x:c r="Q173" s="30"/>
      <x:c r="R173" s="39"/>
      <x:c r="S173" s="39"/>
      <x:c r="T173" s="25"/>
      <x:c r="U173" s="25"/>
      <x:c r="V173" s="25"/>
      <x:c r="W173" s="25"/>
    </x:row>
    <x:row r="174">
      <x:c r="A174" s="25"/>
      <x:c r="B174" s="25"/>
      <x:c r="C174" s="25"/>
      <x:c r="D174" s="25"/>
      <x:c r="E174" s="39"/>
      <x:c r="F174" s="39"/>
      <x:c r="G174" s="30"/>
      <x:c r="H174" s="30"/>
      <x:c r="I174" s="25"/>
      <x:c r="J174" s="42" t="str">
        <x:f>IF(A174="","",E174+I174)</x:f>
      </x:c>
      <x:c r="K174" s="30"/>
      <x:c r="L174" s="30"/>
      <x:c r="M174" s="31" t="str">
        <x:f>IF(A174="","",IF(G174=0,0,K174/G174))</x:f>
      </x:c>
      <x:c r="N174" s="31" t="str">
        <x:f>IF(A174="","",IF(G174=0,0,L174/G174))</x:f>
      </x:c>
      <x:c r="O174" s="30"/>
      <x:c r="P174" s="30"/>
      <x:c r="Q174" s="30"/>
      <x:c r="R174" s="39"/>
      <x:c r="S174" s="39"/>
      <x:c r="T174" s="25"/>
      <x:c r="U174" s="25"/>
      <x:c r="V174" s="25"/>
      <x:c r="W174" s="25"/>
    </x:row>
    <x:row r="175">
      <x:c r="A175" s="25"/>
      <x:c r="B175" s="25"/>
      <x:c r="C175" s="25"/>
      <x:c r="D175" s="25"/>
      <x:c r="E175" s="39"/>
      <x:c r="F175" s="39"/>
      <x:c r="G175" s="30"/>
      <x:c r="H175" s="30"/>
      <x:c r="I175" s="25"/>
      <x:c r="J175" s="42" t="str">
        <x:f>IF(A175="","",E175+I175)</x:f>
      </x:c>
      <x:c r="K175" s="30"/>
      <x:c r="L175" s="30"/>
      <x:c r="M175" s="31" t="str">
        <x:f>IF(A175="","",IF(G175=0,0,K175/G175))</x:f>
      </x:c>
      <x:c r="N175" s="31" t="str">
        <x:f>IF(A175="","",IF(G175=0,0,L175/G175))</x:f>
      </x:c>
      <x:c r="O175" s="30"/>
      <x:c r="P175" s="30"/>
      <x:c r="Q175" s="30"/>
      <x:c r="R175" s="39"/>
      <x:c r="S175" s="39"/>
      <x:c r="T175" s="25"/>
      <x:c r="U175" s="25"/>
      <x:c r="V175" s="25"/>
      <x:c r="W175" s="25"/>
    </x:row>
    <x:row r="176">
      <x:c r="A176" s="25"/>
      <x:c r="B176" s="25"/>
      <x:c r="C176" s="25"/>
      <x:c r="D176" s="25"/>
      <x:c r="E176" s="39"/>
      <x:c r="F176" s="39"/>
      <x:c r="G176" s="30"/>
      <x:c r="H176" s="30"/>
      <x:c r="I176" s="25"/>
      <x:c r="J176" s="42" t="str">
        <x:f>IF(A176="","",E176+I176)</x:f>
      </x:c>
      <x:c r="K176" s="30"/>
      <x:c r="L176" s="30"/>
      <x:c r="M176" s="31" t="str">
        <x:f>IF(A176="","",IF(G176=0,0,K176/G176))</x:f>
      </x:c>
      <x:c r="N176" s="31" t="str">
        <x:f>IF(A176="","",IF(G176=0,0,L176/G176))</x:f>
      </x:c>
      <x:c r="O176" s="30"/>
      <x:c r="P176" s="30"/>
      <x:c r="Q176" s="30"/>
      <x:c r="R176" s="39"/>
      <x:c r="S176" s="39"/>
      <x:c r="T176" s="25"/>
      <x:c r="U176" s="25"/>
      <x:c r="V176" s="25"/>
      <x:c r="W176" s="25"/>
    </x:row>
    <x:row r="177">
      <x:c r="A177" s="25"/>
      <x:c r="B177" s="25"/>
      <x:c r="C177" s="25"/>
      <x:c r="D177" s="25"/>
      <x:c r="E177" s="39"/>
      <x:c r="F177" s="39"/>
      <x:c r="G177" s="30"/>
      <x:c r="H177" s="30"/>
      <x:c r="I177" s="25"/>
      <x:c r="J177" s="42" t="str">
        <x:f>IF(A177="","",E177+I177)</x:f>
      </x:c>
      <x:c r="K177" s="30"/>
      <x:c r="L177" s="30"/>
      <x:c r="M177" s="31" t="str">
        <x:f>IF(A177="","",IF(G177=0,0,K177/G177))</x:f>
      </x:c>
      <x:c r="N177" s="31" t="str">
        <x:f>IF(A177="","",IF(G177=0,0,L177/G177))</x:f>
      </x:c>
      <x:c r="O177" s="30"/>
      <x:c r="P177" s="30"/>
      <x:c r="Q177" s="30"/>
      <x:c r="R177" s="39"/>
      <x:c r="S177" s="39"/>
      <x:c r="T177" s="25"/>
      <x:c r="U177" s="25"/>
      <x:c r="V177" s="25"/>
      <x:c r="W177" s="25"/>
    </x:row>
    <x:row r="178">
      <x:c r="A178" s="25"/>
      <x:c r="B178" s="25"/>
      <x:c r="C178" s="25"/>
      <x:c r="D178" s="25"/>
      <x:c r="E178" s="39"/>
      <x:c r="F178" s="39"/>
      <x:c r="G178" s="30"/>
      <x:c r="H178" s="30"/>
      <x:c r="I178" s="25"/>
      <x:c r="J178" s="42" t="str">
        <x:f>IF(A178="","",E178+I178)</x:f>
      </x:c>
      <x:c r="K178" s="30"/>
      <x:c r="L178" s="30"/>
      <x:c r="M178" s="31" t="str">
        <x:f>IF(A178="","",IF(G178=0,0,K178/G178))</x:f>
      </x:c>
      <x:c r="N178" s="31" t="str">
        <x:f>IF(A178="","",IF(G178=0,0,L178/G178))</x:f>
      </x:c>
      <x:c r="O178" s="30"/>
      <x:c r="P178" s="30"/>
      <x:c r="Q178" s="30"/>
      <x:c r="R178" s="39"/>
      <x:c r="S178" s="39"/>
      <x:c r="T178" s="25"/>
      <x:c r="U178" s="25"/>
      <x:c r="V178" s="25"/>
      <x:c r="W178" s="25"/>
    </x:row>
    <x:row r="179">
      <x:c r="A179" s="25"/>
      <x:c r="B179" s="25"/>
      <x:c r="C179" s="25"/>
      <x:c r="D179" s="25"/>
      <x:c r="E179" s="39"/>
      <x:c r="F179" s="39"/>
      <x:c r="G179" s="30"/>
      <x:c r="H179" s="30"/>
      <x:c r="I179" s="25"/>
      <x:c r="J179" s="42" t="str">
        <x:f>IF(A179="","",E179+I179)</x:f>
      </x:c>
      <x:c r="K179" s="30"/>
      <x:c r="L179" s="30"/>
      <x:c r="M179" s="31" t="str">
        <x:f>IF(A179="","",IF(G179=0,0,K179/G179))</x:f>
      </x:c>
      <x:c r="N179" s="31" t="str">
        <x:f>IF(A179="","",IF(G179=0,0,L179/G179))</x:f>
      </x:c>
      <x:c r="O179" s="30"/>
      <x:c r="P179" s="30"/>
      <x:c r="Q179" s="30"/>
      <x:c r="R179" s="39"/>
      <x:c r="S179" s="39"/>
      <x:c r="T179" s="25"/>
      <x:c r="U179" s="25"/>
      <x:c r="V179" s="25"/>
      <x:c r="W179" s="25"/>
    </x:row>
    <x:row r="180">
      <x:c r="A180" s="25"/>
      <x:c r="B180" s="25"/>
      <x:c r="C180" s="25"/>
      <x:c r="D180" s="25"/>
      <x:c r="E180" s="39"/>
      <x:c r="F180" s="39"/>
      <x:c r="G180" s="30"/>
      <x:c r="H180" s="30"/>
      <x:c r="I180" s="25"/>
      <x:c r="J180" s="42" t="str">
        <x:f>IF(A180="","",E180+I180)</x:f>
      </x:c>
      <x:c r="K180" s="30"/>
      <x:c r="L180" s="30"/>
      <x:c r="M180" s="31" t="str">
        <x:f>IF(A180="","",IF(G180=0,0,K180/G180))</x:f>
      </x:c>
      <x:c r="N180" s="31" t="str">
        <x:f>IF(A180="","",IF(G180=0,0,L180/G180))</x:f>
      </x:c>
      <x:c r="O180" s="30"/>
      <x:c r="P180" s="30"/>
      <x:c r="Q180" s="30"/>
      <x:c r="R180" s="39"/>
      <x:c r="S180" s="39"/>
      <x:c r="T180" s="25"/>
      <x:c r="U180" s="25"/>
      <x:c r="V180" s="25"/>
      <x:c r="W180" s="25"/>
    </x:row>
    <x:row r="181">
      <x:c r="A181" s="25"/>
      <x:c r="B181" s="25"/>
      <x:c r="C181" s="25"/>
      <x:c r="D181" s="25"/>
      <x:c r="E181" s="39"/>
      <x:c r="F181" s="39"/>
      <x:c r="G181" s="30"/>
      <x:c r="H181" s="30"/>
      <x:c r="I181" s="25"/>
      <x:c r="J181" s="42" t="str">
        <x:f>IF(A181="","",E181+I181)</x:f>
      </x:c>
      <x:c r="K181" s="30"/>
      <x:c r="L181" s="30"/>
      <x:c r="M181" s="31" t="str">
        <x:f>IF(A181="","",IF(G181=0,0,K181/G181))</x:f>
      </x:c>
      <x:c r="N181" s="31" t="str">
        <x:f>IF(A181="","",IF(G181=0,0,L181/G181))</x:f>
      </x:c>
      <x:c r="O181" s="30"/>
      <x:c r="P181" s="30"/>
      <x:c r="Q181" s="30"/>
      <x:c r="R181" s="39"/>
      <x:c r="S181" s="39"/>
      <x:c r="T181" s="25"/>
      <x:c r="U181" s="25"/>
      <x:c r="V181" s="25"/>
      <x:c r="W181" s="25"/>
    </x:row>
    <x:row r="182">
      <x:c r="A182" s="25"/>
      <x:c r="B182" s="25"/>
      <x:c r="C182" s="25"/>
      <x:c r="D182" s="25"/>
      <x:c r="E182" s="39"/>
      <x:c r="F182" s="39"/>
      <x:c r="G182" s="30"/>
      <x:c r="H182" s="30"/>
      <x:c r="I182" s="25"/>
      <x:c r="J182" s="42" t="str">
        <x:f>IF(A182="","",E182+I182)</x:f>
      </x:c>
      <x:c r="K182" s="30"/>
      <x:c r="L182" s="30"/>
      <x:c r="M182" s="31" t="str">
        <x:f>IF(A182="","",IF(G182=0,0,K182/G182))</x:f>
      </x:c>
      <x:c r="N182" s="31" t="str">
        <x:f>IF(A182="","",IF(G182=0,0,L182/G182))</x:f>
      </x:c>
      <x:c r="O182" s="30"/>
      <x:c r="P182" s="30"/>
      <x:c r="Q182" s="30"/>
      <x:c r="R182" s="39"/>
      <x:c r="S182" s="39"/>
      <x:c r="T182" s="25"/>
      <x:c r="U182" s="25"/>
      <x:c r="V182" s="25"/>
      <x:c r="W182" s="25"/>
    </x:row>
    <x:row r="183">
      <x:c r="A183" s="25"/>
      <x:c r="B183" s="25"/>
      <x:c r="C183" s="25"/>
      <x:c r="D183" s="25"/>
      <x:c r="E183" s="39"/>
      <x:c r="F183" s="39"/>
      <x:c r="G183" s="30"/>
      <x:c r="H183" s="30"/>
      <x:c r="I183" s="25"/>
      <x:c r="J183" s="42" t="str">
        <x:f>IF(A183="","",E183+I183)</x:f>
      </x:c>
      <x:c r="K183" s="30"/>
      <x:c r="L183" s="30"/>
      <x:c r="M183" s="31" t="str">
        <x:f>IF(A183="","",IF(G183=0,0,K183/G183))</x:f>
      </x:c>
      <x:c r="N183" s="31" t="str">
        <x:f>IF(A183="","",IF(G183=0,0,L183/G183))</x:f>
      </x:c>
      <x:c r="O183" s="30"/>
      <x:c r="P183" s="30"/>
      <x:c r="Q183" s="30"/>
      <x:c r="R183" s="39"/>
      <x:c r="S183" s="39"/>
      <x:c r="T183" s="25"/>
      <x:c r="U183" s="25"/>
      <x:c r="V183" s="25"/>
      <x:c r="W183" s="25"/>
    </x:row>
    <x:row r="184">
      <x:c r="A184" s="25"/>
      <x:c r="B184" s="25"/>
      <x:c r="C184" s="25"/>
      <x:c r="D184" s="25"/>
      <x:c r="E184" s="39"/>
      <x:c r="F184" s="39"/>
      <x:c r="G184" s="30"/>
      <x:c r="H184" s="30"/>
      <x:c r="I184" s="25"/>
      <x:c r="J184" s="42" t="str">
        <x:f>IF(A184="","",E184+I184)</x:f>
      </x:c>
      <x:c r="K184" s="30"/>
      <x:c r="L184" s="30"/>
      <x:c r="M184" s="31" t="str">
        <x:f>IF(A184="","",IF(G184=0,0,K184/G184))</x:f>
      </x:c>
      <x:c r="N184" s="31" t="str">
        <x:f>IF(A184="","",IF(G184=0,0,L184/G184))</x:f>
      </x:c>
      <x:c r="O184" s="30"/>
      <x:c r="P184" s="30"/>
      <x:c r="Q184" s="30"/>
      <x:c r="R184" s="39"/>
      <x:c r="S184" s="39"/>
      <x:c r="T184" s="25"/>
      <x:c r="U184" s="25"/>
      <x:c r="V184" s="25"/>
      <x:c r="W184" s="25"/>
    </x:row>
    <x:row r="185">
      <x:c r="A185" s="25"/>
      <x:c r="B185" s="25"/>
      <x:c r="C185" s="25"/>
      <x:c r="D185" s="25"/>
      <x:c r="E185" s="39"/>
      <x:c r="F185" s="39"/>
      <x:c r="G185" s="30"/>
      <x:c r="H185" s="30"/>
      <x:c r="I185" s="25"/>
      <x:c r="J185" s="42" t="str">
        <x:f>IF(A185="","",E185+I185)</x:f>
      </x:c>
      <x:c r="K185" s="30"/>
      <x:c r="L185" s="30"/>
      <x:c r="M185" s="31" t="str">
        <x:f>IF(A185="","",IF(G185=0,0,K185/G185))</x:f>
      </x:c>
      <x:c r="N185" s="31" t="str">
        <x:f>IF(A185="","",IF(G185=0,0,L185/G185))</x:f>
      </x:c>
      <x:c r="O185" s="30"/>
      <x:c r="P185" s="30"/>
      <x:c r="Q185" s="30"/>
      <x:c r="R185" s="39"/>
      <x:c r="S185" s="39"/>
      <x:c r="T185" s="25"/>
      <x:c r="U185" s="25"/>
      <x:c r="V185" s="25"/>
      <x:c r="W185" s="25"/>
    </x:row>
    <x:row r="186">
      <x:c r="A186" s="25"/>
      <x:c r="B186" s="25"/>
      <x:c r="C186" s="25"/>
      <x:c r="D186" s="25"/>
      <x:c r="E186" s="39"/>
      <x:c r="F186" s="39"/>
      <x:c r="G186" s="30"/>
      <x:c r="H186" s="30"/>
      <x:c r="I186" s="25"/>
      <x:c r="J186" s="42" t="str">
        <x:f>IF(A186="","",E186+I186)</x:f>
      </x:c>
      <x:c r="K186" s="30"/>
      <x:c r="L186" s="30"/>
      <x:c r="M186" s="31" t="str">
        <x:f>IF(A186="","",IF(G186=0,0,K186/G186))</x:f>
      </x:c>
      <x:c r="N186" s="31" t="str">
        <x:f>IF(A186="","",IF(G186=0,0,L186/G186))</x:f>
      </x:c>
      <x:c r="O186" s="30"/>
      <x:c r="P186" s="30"/>
      <x:c r="Q186" s="30"/>
      <x:c r="R186" s="39"/>
      <x:c r="S186" s="39"/>
      <x:c r="T186" s="25"/>
      <x:c r="U186" s="25"/>
      <x:c r="V186" s="25"/>
      <x:c r="W186" s="25"/>
    </x:row>
    <x:row r="187">
      <x:c r="A187" s="25"/>
      <x:c r="B187" s="25"/>
      <x:c r="C187" s="25"/>
      <x:c r="D187" s="25"/>
      <x:c r="E187" s="39"/>
      <x:c r="F187" s="39"/>
      <x:c r="G187" s="30"/>
      <x:c r="H187" s="30"/>
      <x:c r="I187" s="25"/>
      <x:c r="J187" s="42" t="str">
        <x:f>IF(A187="","",E187+I187)</x:f>
      </x:c>
      <x:c r="K187" s="30"/>
      <x:c r="L187" s="30"/>
      <x:c r="M187" s="31" t="str">
        <x:f>IF(A187="","",IF(G187=0,0,K187/G187))</x:f>
      </x:c>
      <x:c r="N187" s="31" t="str">
        <x:f>IF(A187="","",IF(G187=0,0,L187/G187))</x:f>
      </x:c>
      <x:c r="O187" s="30"/>
      <x:c r="P187" s="30"/>
      <x:c r="Q187" s="30"/>
      <x:c r="R187" s="39"/>
      <x:c r="S187" s="39"/>
      <x:c r="T187" s="25"/>
      <x:c r="U187" s="25"/>
      <x:c r="V187" s="25"/>
      <x:c r="W187" s="25"/>
    </x:row>
    <x:row r="188">
      <x:c r="A188" s="25"/>
      <x:c r="B188" s="25"/>
      <x:c r="C188" s="25"/>
      <x:c r="D188" s="25"/>
      <x:c r="E188" s="39"/>
      <x:c r="F188" s="39"/>
      <x:c r="G188" s="30"/>
      <x:c r="H188" s="30"/>
      <x:c r="I188" s="25"/>
      <x:c r="J188" s="42" t="str">
        <x:f>IF(A188="","",E188+I188)</x:f>
      </x:c>
      <x:c r="K188" s="30"/>
      <x:c r="L188" s="30"/>
      <x:c r="M188" s="31" t="str">
        <x:f>IF(A188="","",IF(G188=0,0,K188/G188))</x:f>
      </x:c>
      <x:c r="N188" s="31" t="str">
        <x:f>IF(A188="","",IF(G188=0,0,L188/G188))</x:f>
      </x:c>
      <x:c r="O188" s="30"/>
      <x:c r="P188" s="30"/>
      <x:c r="Q188" s="30"/>
      <x:c r="R188" s="39"/>
      <x:c r="S188" s="39"/>
      <x:c r="T188" s="25"/>
      <x:c r="U188" s="25"/>
      <x:c r="V188" s="25"/>
      <x:c r="W188" s="25"/>
    </x:row>
    <x:row r="189">
      <x:c r="A189" s="25"/>
      <x:c r="B189" s="25"/>
      <x:c r="C189" s="25"/>
      <x:c r="D189" s="25"/>
      <x:c r="E189" s="39"/>
      <x:c r="F189" s="39"/>
      <x:c r="G189" s="30"/>
      <x:c r="H189" s="30"/>
      <x:c r="I189" s="25"/>
      <x:c r="J189" s="42" t="str">
        <x:f>IF(A189="","",E189+I189)</x:f>
      </x:c>
      <x:c r="K189" s="30"/>
      <x:c r="L189" s="30"/>
      <x:c r="M189" s="31" t="str">
        <x:f>IF(A189="","",IF(G189=0,0,K189/G189))</x:f>
      </x:c>
      <x:c r="N189" s="31" t="str">
        <x:f>IF(A189="","",IF(G189=0,0,L189/G189))</x:f>
      </x:c>
      <x:c r="O189" s="30"/>
      <x:c r="P189" s="30"/>
      <x:c r="Q189" s="30"/>
      <x:c r="R189" s="39"/>
      <x:c r="S189" s="39"/>
      <x:c r="T189" s="25"/>
      <x:c r="U189" s="25"/>
      <x:c r="V189" s="25"/>
      <x:c r="W189" s="25"/>
    </x:row>
    <x:row r="190">
      <x:c r="A190" s="25"/>
      <x:c r="B190" s="25"/>
      <x:c r="C190" s="25"/>
      <x:c r="D190" s="25"/>
      <x:c r="E190" s="39"/>
      <x:c r="F190" s="39"/>
      <x:c r="G190" s="30"/>
      <x:c r="H190" s="30"/>
      <x:c r="I190" s="25"/>
      <x:c r="J190" s="42" t="str">
        <x:f>IF(A190="","",E190+I190)</x:f>
      </x:c>
      <x:c r="K190" s="30"/>
      <x:c r="L190" s="30"/>
      <x:c r="M190" s="31" t="str">
        <x:f>IF(A190="","",IF(G190=0,0,K190/G190))</x:f>
      </x:c>
      <x:c r="N190" s="31" t="str">
        <x:f>IF(A190="","",IF(G190=0,0,L190/G190))</x:f>
      </x:c>
      <x:c r="O190" s="30"/>
      <x:c r="P190" s="30"/>
      <x:c r="Q190" s="30"/>
      <x:c r="R190" s="39"/>
      <x:c r="S190" s="39"/>
      <x:c r="T190" s="25"/>
      <x:c r="U190" s="25"/>
      <x:c r="V190" s="25"/>
      <x:c r="W190" s="25"/>
    </x:row>
    <x:row r="191">
      <x:c r="A191" s="25"/>
      <x:c r="B191" s="25"/>
      <x:c r="C191" s="25"/>
      <x:c r="D191" s="25"/>
      <x:c r="E191" s="39"/>
      <x:c r="F191" s="39"/>
      <x:c r="G191" s="30"/>
      <x:c r="H191" s="30"/>
      <x:c r="I191" s="25"/>
      <x:c r="J191" s="42" t="str">
        <x:f>IF(A191="","",E191+I191)</x:f>
      </x:c>
      <x:c r="K191" s="30"/>
      <x:c r="L191" s="30"/>
      <x:c r="M191" s="31" t="str">
        <x:f>IF(A191="","",IF(G191=0,0,K191/G191))</x:f>
      </x:c>
      <x:c r="N191" s="31" t="str">
        <x:f>IF(A191="","",IF(G191=0,0,L191/G191))</x:f>
      </x:c>
      <x:c r="O191" s="30"/>
      <x:c r="P191" s="30"/>
      <x:c r="Q191" s="30"/>
      <x:c r="R191" s="39"/>
      <x:c r="S191" s="39"/>
      <x:c r="T191" s="25"/>
      <x:c r="U191" s="25"/>
      <x:c r="V191" s="25"/>
      <x:c r="W191" s="25"/>
    </x:row>
    <x:row r="192">
      <x:c r="A192" s="25"/>
      <x:c r="B192" s="25"/>
      <x:c r="C192" s="25"/>
      <x:c r="D192" s="25"/>
      <x:c r="E192" s="39"/>
      <x:c r="F192" s="39"/>
      <x:c r="G192" s="30"/>
      <x:c r="H192" s="30"/>
      <x:c r="I192" s="25"/>
      <x:c r="J192" s="42" t="str">
        <x:f>IF(A192="","",E192+I192)</x:f>
      </x:c>
      <x:c r="K192" s="30"/>
      <x:c r="L192" s="30"/>
      <x:c r="M192" s="31" t="str">
        <x:f>IF(A192="","",IF(G192=0,0,K192/G192))</x:f>
      </x:c>
      <x:c r="N192" s="31" t="str">
        <x:f>IF(A192="","",IF(G192=0,0,L192/G192))</x:f>
      </x:c>
      <x:c r="O192" s="30"/>
      <x:c r="P192" s="30"/>
      <x:c r="Q192" s="30"/>
      <x:c r="R192" s="39"/>
      <x:c r="S192" s="39"/>
      <x:c r="T192" s="25"/>
      <x:c r="U192" s="25"/>
      <x:c r="V192" s="25"/>
      <x:c r="W192" s="25"/>
    </x:row>
    <x:row r="193">
      <x:c r="A193" s="25"/>
      <x:c r="B193" s="25"/>
      <x:c r="C193" s="25"/>
      <x:c r="D193" s="25"/>
      <x:c r="E193" s="39"/>
      <x:c r="F193" s="39"/>
      <x:c r="G193" s="30"/>
      <x:c r="H193" s="30"/>
      <x:c r="I193" s="25"/>
      <x:c r="J193" s="42" t="str">
        <x:f>IF(A193="","",E193+I193)</x:f>
      </x:c>
      <x:c r="K193" s="30"/>
      <x:c r="L193" s="30"/>
      <x:c r="M193" s="31" t="str">
        <x:f>IF(A193="","",IF(G193=0,0,K193/G193))</x:f>
      </x:c>
      <x:c r="N193" s="31" t="str">
        <x:f>IF(A193="","",IF(G193=0,0,L193/G193))</x:f>
      </x:c>
      <x:c r="O193" s="30"/>
      <x:c r="P193" s="30"/>
      <x:c r="Q193" s="30"/>
      <x:c r="R193" s="39"/>
      <x:c r="S193" s="39"/>
      <x:c r="T193" s="25"/>
      <x:c r="U193" s="25"/>
      <x:c r="V193" s="25"/>
      <x:c r="W193" s="25"/>
    </x:row>
    <x:row r="194">
      <x:c r="A194" s="25"/>
      <x:c r="B194" s="25"/>
      <x:c r="C194" s="25"/>
      <x:c r="D194" s="25"/>
      <x:c r="E194" s="39"/>
      <x:c r="F194" s="39"/>
      <x:c r="G194" s="30"/>
      <x:c r="H194" s="30"/>
      <x:c r="I194" s="25"/>
      <x:c r="J194" s="42" t="str">
        <x:f>IF(A194="","",E194+I194)</x:f>
      </x:c>
      <x:c r="K194" s="30"/>
      <x:c r="L194" s="30"/>
      <x:c r="M194" s="31" t="str">
        <x:f>IF(A194="","",IF(G194=0,0,K194/G194))</x:f>
      </x:c>
      <x:c r="N194" s="31" t="str">
        <x:f>IF(A194="","",IF(G194=0,0,L194/G194))</x:f>
      </x:c>
      <x:c r="O194" s="30"/>
      <x:c r="P194" s="30"/>
      <x:c r="Q194" s="30"/>
      <x:c r="R194" s="39"/>
      <x:c r="S194" s="39"/>
      <x:c r="T194" s="25"/>
      <x:c r="U194" s="25"/>
      <x:c r="V194" s="25"/>
      <x:c r="W194" s="25"/>
    </x:row>
    <x:row r="195">
      <x:c r="A195" s="25"/>
      <x:c r="B195" s="25"/>
      <x:c r="C195" s="25"/>
      <x:c r="D195" s="25"/>
      <x:c r="E195" s="39"/>
      <x:c r="F195" s="39"/>
      <x:c r="G195" s="30"/>
      <x:c r="H195" s="30"/>
      <x:c r="I195" s="25"/>
      <x:c r="J195" s="42" t="str">
        <x:f>IF(A195="","",E195+I195)</x:f>
      </x:c>
      <x:c r="K195" s="30"/>
      <x:c r="L195" s="30"/>
      <x:c r="M195" s="31" t="str">
        <x:f>IF(A195="","",IF(G195=0,0,K195/G195))</x:f>
      </x:c>
      <x:c r="N195" s="31" t="str">
        <x:f>IF(A195="","",IF(G195=0,0,L195/G195))</x:f>
      </x:c>
      <x:c r="O195" s="30"/>
      <x:c r="P195" s="30"/>
      <x:c r="Q195" s="30"/>
      <x:c r="R195" s="39"/>
      <x:c r="S195" s="39"/>
      <x:c r="T195" s="25"/>
      <x:c r="U195" s="25"/>
      <x:c r="V195" s="25"/>
      <x:c r="W195" s="25"/>
    </x:row>
    <x:row r="196">
      <x:c r="A196" s="25"/>
      <x:c r="B196" s="25"/>
      <x:c r="C196" s="25"/>
      <x:c r="D196" s="25"/>
      <x:c r="E196" s="39"/>
      <x:c r="F196" s="39"/>
      <x:c r="G196" s="30"/>
      <x:c r="H196" s="30"/>
      <x:c r="I196" s="25"/>
      <x:c r="J196" s="42" t="str">
        <x:f>IF(A196="","",E196+I196)</x:f>
      </x:c>
      <x:c r="K196" s="30"/>
      <x:c r="L196" s="30"/>
      <x:c r="M196" s="31" t="str">
        <x:f>IF(A196="","",IF(G196=0,0,K196/G196))</x:f>
      </x:c>
      <x:c r="N196" s="31" t="str">
        <x:f>IF(A196="","",IF(G196=0,0,L196/G196))</x:f>
      </x:c>
      <x:c r="O196" s="30"/>
      <x:c r="P196" s="30"/>
      <x:c r="Q196" s="30"/>
      <x:c r="R196" s="39"/>
      <x:c r="S196" s="39"/>
      <x:c r="T196" s="25"/>
      <x:c r="U196" s="25"/>
      <x:c r="V196" s="25"/>
      <x:c r="W196" s="25"/>
    </x:row>
    <x:row r="197">
      <x:c r="A197" s="25"/>
      <x:c r="B197" s="25"/>
      <x:c r="C197" s="25"/>
      <x:c r="D197" s="25"/>
      <x:c r="E197" s="39"/>
      <x:c r="F197" s="39"/>
      <x:c r="G197" s="30"/>
      <x:c r="H197" s="30"/>
      <x:c r="I197" s="25"/>
      <x:c r="J197" s="42" t="str">
        <x:f>IF(A197="","",E197+I197)</x:f>
      </x:c>
      <x:c r="K197" s="30"/>
      <x:c r="L197" s="30"/>
      <x:c r="M197" s="31" t="str">
        <x:f>IF(A197="","",IF(G197=0,0,K197/G197))</x:f>
      </x:c>
      <x:c r="N197" s="31" t="str">
        <x:f>IF(A197="","",IF(G197=0,0,L197/G197))</x:f>
      </x:c>
      <x:c r="O197" s="30"/>
      <x:c r="P197" s="30"/>
      <x:c r="Q197" s="30"/>
      <x:c r="R197" s="39"/>
      <x:c r="S197" s="39"/>
      <x:c r="T197" s="25"/>
      <x:c r="U197" s="25"/>
      <x:c r="V197" s="25"/>
      <x:c r="W197" s="25"/>
    </x:row>
    <x:row r="198">
      <x:c r="A198" s="25"/>
      <x:c r="B198" s="25"/>
      <x:c r="C198" s="25"/>
      <x:c r="D198" s="25"/>
      <x:c r="E198" s="39"/>
      <x:c r="F198" s="39"/>
      <x:c r="G198" s="30"/>
      <x:c r="H198" s="30"/>
      <x:c r="I198" s="25"/>
      <x:c r="J198" s="42" t="str">
        <x:f>IF(A198="","",E198+I198)</x:f>
      </x:c>
      <x:c r="K198" s="30"/>
      <x:c r="L198" s="30"/>
      <x:c r="M198" s="31" t="str">
        <x:f>IF(A198="","",IF(G198=0,0,K198/G198))</x:f>
      </x:c>
      <x:c r="N198" s="31" t="str">
        <x:f>IF(A198="","",IF(G198=0,0,L198/G198))</x:f>
      </x:c>
      <x:c r="O198" s="30"/>
      <x:c r="P198" s="30"/>
      <x:c r="Q198" s="30"/>
      <x:c r="R198" s="39"/>
      <x:c r="S198" s="39"/>
      <x:c r="T198" s="25"/>
      <x:c r="U198" s="25"/>
      <x:c r="V198" s="25"/>
      <x:c r="W198" s="25"/>
    </x:row>
    <x:row r="199">
      <x:c r="A199" s="25"/>
      <x:c r="B199" s="25"/>
      <x:c r="C199" s="25"/>
      <x:c r="D199" s="25"/>
      <x:c r="E199" s="39"/>
      <x:c r="F199" s="39"/>
      <x:c r="G199" s="30"/>
      <x:c r="H199" s="30"/>
      <x:c r="I199" s="25"/>
      <x:c r="J199" s="42" t="str">
        <x:f>IF(A199="","",E199+I199)</x:f>
      </x:c>
      <x:c r="K199" s="30"/>
      <x:c r="L199" s="30"/>
      <x:c r="M199" s="31" t="str">
        <x:f>IF(A199="","",IF(G199=0,0,K199/G199))</x:f>
      </x:c>
      <x:c r="N199" s="31" t="str">
        <x:f>IF(A199="","",IF(G199=0,0,L199/G199))</x:f>
      </x:c>
      <x:c r="O199" s="30"/>
      <x:c r="P199" s="30"/>
      <x:c r="Q199" s="30"/>
      <x:c r="R199" s="39"/>
      <x:c r="S199" s="39"/>
      <x:c r="T199" s="25"/>
      <x:c r="U199" s="25"/>
      <x:c r="V199" s="25"/>
      <x:c r="W199" s="25"/>
    </x:row>
    <x:row r="200">
      <x:c r="A200" s="25"/>
      <x:c r="B200" s="25"/>
      <x:c r="C200" s="25"/>
      <x:c r="D200" s="25"/>
      <x:c r="E200" s="39"/>
      <x:c r="F200" s="39"/>
      <x:c r="G200" s="30"/>
      <x:c r="H200" s="30"/>
      <x:c r="I200" s="25"/>
      <x:c r="J200" s="42" t="str">
        <x:f>IF(A200="","",E200+I200)</x:f>
      </x:c>
      <x:c r="K200" s="30"/>
      <x:c r="L200" s="30"/>
      <x:c r="M200" s="31" t="str">
        <x:f>IF(A200="","",IF(G200=0,0,K200/G200))</x:f>
      </x:c>
      <x:c r="N200" s="31" t="str">
        <x:f>IF(A200="","",IF(G200=0,0,L200/G200))</x:f>
      </x:c>
      <x:c r="O200" s="30"/>
      <x:c r="P200" s="30"/>
      <x:c r="Q200" s="30"/>
      <x:c r="R200" s="39"/>
      <x:c r="S200" s="39"/>
      <x:c r="T200" s="25"/>
      <x:c r="U200" s="25"/>
      <x:c r="V200" s="25"/>
      <x:c r="W200" s="25"/>
    </x:row>
    <x:row r="201">
      <x:c r="A201" s="25"/>
      <x:c r="B201" s="25"/>
      <x:c r="C201" s="25"/>
      <x:c r="D201" s="25"/>
      <x:c r="E201" s="39"/>
      <x:c r="F201" s="39"/>
      <x:c r="G201" s="30"/>
      <x:c r="H201" s="30"/>
      <x:c r="I201" s="25"/>
      <x:c r="J201" s="42" t="str">
        <x:f>IF(A201="","",E201+I201)</x:f>
      </x:c>
      <x:c r="K201" s="30"/>
      <x:c r="L201" s="30"/>
      <x:c r="M201" s="31" t="str">
        <x:f>IF(A201="","",IF(G201=0,0,K201/G201))</x:f>
      </x:c>
      <x:c r="N201" s="31" t="str">
        <x:f>IF(A201="","",IF(G201=0,0,L201/G201))</x:f>
      </x:c>
      <x:c r="O201" s="30"/>
      <x:c r="P201" s="30"/>
      <x:c r="Q201" s="30"/>
      <x:c r="R201" s="39"/>
      <x:c r="S201" s="39"/>
      <x:c r="T201" s="25"/>
      <x:c r="U201" s="25"/>
      <x:c r="V201" s="25"/>
      <x:c r="W201" s="25"/>
    </x:row>
    <x:row r="202">
      <x:c r="A202" s="25"/>
      <x:c r="B202" s="25"/>
      <x:c r="C202" s="25"/>
      <x:c r="D202" s="25"/>
      <x:c r="E202" s="39"/>
      <x:c r="F202" s="39"/>
      <x:c r="G202" s="30"/>
      <x:c r="H202" s="30"/>
      <x:c r="I202" s="25"/>
      <x:c r="J202" s="42" t="str">
        <x:f>IF(A202="","",E202+I202)</x:f>
      </x:c>
      <x:c r="K202" s="30"/>
      <x:c r="L202" s="30"/>
      <x:c r="M202" s="31" t="str">
        <x:f>IF(A202="","",IF(G202=0,0,K202/G202))</x:f>
      </x:c>
      <x:c r="N202" s="31" t="str">
        <x:f>IF(A202="","",IF(G202=0,0,L202/G202))</x:f>
      </x:c>
      <x:c r="O202" s="30"/>
      <x:c r="P202" s="30"/>
      <x:c r="Q202" s="30"/>
      <x:c r="R202" s="39"/>
      <x:c r="S202" s="39"/>
      <x:c r="T202" s="25"/>
      <x:c r="U202" s="25"/>
      <x:c r="V202" s="25"/>
      <x:c r="W202" s="25"/>
    </x:row>
    <x:row r="203">
      <x:c r="A203" s="25"/>
      <x:c r="B203" s="25"/>
      <x:c r="C203" s="25"/>
      <x:c r="D203" s="25"/>
      <x:c r="E203" s="39"/>
      <x:c r="F203" s="39"/>
      <x:c r="G203" s="30"/>
      <x:c r="H203" s="30"/>
      <x:c r="I203" s="25"/>
      <x:c r="J203" s="42" t="str">
        <x:f>IF(A203="","",E203+I203)</x:f>
      </x:c>
      <x:c r="K203" s="30"/>
      <x:c r="L203" s="30"/>
      <x:c r="M203" s="31" t="str">
        <x:f>IF(A203="","",IF(G203=0,0,K203/G203))</x:f>
      </x:c>
      <x:c r="N203" s="31" t="str">
        <x:f>IF(A203="","",IF(G203=0,0,L203/G203))</x:f>
      </x:c>
      <x:c r="O203" s="30"/>
      <x:c r="P203" s="30"/>
      <x:c r="Q203" s="30"/>
      <x:c r="R203" s="39"/>
      <x:c r="S203" s="39"/>
      <x:c r="T203" s="25"/>
      <x:c r="U203" s="25"/>
      <x:c r="V203" s="25"/>
      <x:c r="W203" s="25"/>
    </x:row>
    <x:row r="204">
      <x:c r="A204" s="25"/>
      <x:c r="B204" s="25"/>
      <x:c r="C204" s="25"/>
      <x:c r="D204" s="25"/>
      <x:c r="E204" s="39"/>
      <x:c r="F204" s="39"/>
      <x:c r="G204" s="30"/>
      <x:c r="H204" s="30"/>
      <x:c r="I204" s="25"/>
      <x:c r="J204" s="42" t="str">
        <x:f>IF(A204="","",E204+I204)</x:f>
      </x:c>
      <x:c r="K204" s="30"/>
      <x:c r="L204" s="30"/>
      <x:c r="M204" s="31" t="str">
        <x:f>IF(A204="","",IF(G204=0,0,K204/G204))</x:f>
      </x:c>
      <x:c r="N204" s="31" t="str">
        <x:f>IF(A204="","",IF(G204=0,0,L204/G204))</x:f>
      </x:c>
      <x:c r="O204" s="30"/>
      <x:c r="P204" s="30"/>
      <x:c r="Q204" s="30"/>
      <x:c r="R204" s="39"/>
      <x:c r="S204" s="39"/>
      <x:c r="T204" s="25"/>
      <x:c r="U204" s="25"/>
      <x:c r="V204" s="25"/>
      <x:c r="W204" s="25"/>
    </x:row>
    <x:row r="205">
      <x:c r="A205" s="25"/>
      <x:c r="B205" s="25"/>
      <x:c r="C205" s="25"/>
      <x:c r="D205" s="25"/>
      <x:c r="E205" s="39"/>
      <x:c r="F205" s="39"/>
      <x:c r="G205" s="30"/>
      <x:c r="H205" s="30"/>
      <x:c r="I205" s="25"/>
      <x:c r="J205" s="42" t="str">
        <x:f>IF(A205="","",E205+I205)</x:f>
      </x:c>
      <x:c r="K205" s="30"/>
      <x:c r="L205" s="30"/>
      <x:c r="M205" s="31" t="str">
        <x:f>IF(A205="","",IF(G205=0,0,K205/G205))</x:f>
      </x:c>
      <x:c r="N205" s="31" t="str">
        <x:f>IF(A205="","",IF(G205=0,0,L205/G205))</x:f>
      </x:c>
      <x:c r="O205" s="30"/>
      <x:c r="P205" s="30"/>
      <x:c r="Q205" s="30"/>
      <x:c r="R205" s="39"/>
      <x:c r="S205" s="39"/>
      <x:c r="T205" s="25"/>
      <x:c r="U205" s="25"/>
      <x:c r="V205" s="25"/>
      <x:c r="W205" s="25"/>
    </x:row>
    <x:row r="206">
      <x:c r="A206" s="25"/>
      <x:c r="B206" s="25"/>
      <x:c r="C206" s="25"/>
      <x:c r="D206" s="25"/>
      <x:c r="E206" s="39"/>
      <x:c r="F206" s="39"/>
      <x:c r="G206" s="30"/>
      <x:c r="H206" s="30"/>
      <x:c r="I206" s="25"/>
      <x:c r="J206" s="42" t="str">
        <x:f>IF(A206="","",E206+I206)</x:f>
      </x:c>
      <x:c r="K206" s="30"/>
      <x:c r="L206" s="30"/>
      <x:c r="M206" s="31" t="str">
        <x:f>IF(A206="","",IF(G206=0,0,K206/G206))</x:f>
      </x:c>
      <x:c r="N206" s="31" t="str">
        <x:f>IF(A206="","",IF(G206=0,0,L206/G206))</x:f>
      </x:c>
      <x:c r="O206" s="30"/>
      <x:c r="P206" s="30"/>
      <x:c r="Q206" s="30"/>
      <x:c r="R206" s="39"/>
      <x:c r="S206" s="39"/>
      <x:c r="T206" s="25"/>
      <x:c r="U206" s="25"/>
      <x:c r="V206" s="25"/>
      <x:c r="W206" s="25"/>
    </x:row>
  </x:sheetData>
  <x:mergeCells>
    <x:mergeCell ref="A1:W1"/>
    <x:mergeCell ref="A2:W2"/>
  </x:mergeCells>
  <x:dataValidations count="1">
    <x:dataValidation type="list" sqref="U7:U206">
      <x:formula1>"Draft,Pending evidence,Approved,Ordered,Received,Paid,On hold,Cancelled"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</x:cols>
  <x:sheetData>
    <x:row r="1" ht="30" customHeight="1">
      <x:c r="A1" s="14" t="str">
        <x:v>Control Checks</x:v>
      </x:c>
    </x:row>
    <x:row r="2" ht="32" customHeight="1">
      <x:c r="A2" s="17" t="str">
        <x:v>These checks surface missing evidence and cash/claim exposure. Investigate every non-zero exception.</x:v>
      </x:c>
    </x:row>
    <x:row r="6" ht="32" customHeight="1">
      <x:c r="A6" s="22" t="str">
        <x:v>Control</x:v>
      </x:c>
      <x:c r="B6" s="22" t="str">
        <x:v>Result</x:v>
      </x:c>
      <x:c r="C6" s="22" t="str">
        <x:v>Target</x:v>
      </x:c>
      <x:c r="D6" s="22" t="str">
        <x:v>Status</x:v>
      </x:c>
      <x:c r="E6" s="22" t="str">
        <x:v>Owner</x:v>
      </x:c>
      <x:c r="F6" s="22" t="str">
        <x:v>Action/evidence</x:v>
      </x:c>
    </x:row>
    <x:row r="7">
      <x:c r="A7" s="44" t="str">
        <x:v>Proposal rows on Hold</x:v>
      </x:c>
      <x:c r="B7" s="28" t="n">
        <x:f>COUNTIF('Proposal Comparison'!V7:V46,"Hold")</x:f>
        <x:v>0</x:v>
      </x:c>
      <x:c r="C7" s="28" t="n">
        <x:v>0</x:v>
      </x:c>
      <x:c r="D7" s="28" t="str">
        <x:f>IF(B7&lt;=C7,"OK","REVIEW")</x:f>
        <x:v>OK</x:v>
      </x:c>
      <x:c r="E7" t="str">
        <x:v>Founder/Commercial</x:v>
      </x:c>
      <x:c r="F7" s="25"/>
    </x:row>
    <x:row r="8">
      <x:c r="A8" s="44" t="str">
        <x:v>Purchase rows with sell-through cover &lt;1.00</x:v>
      </x:c>
      <x:c r="B8" s="28" t="n">
        <x:f>COUNTIF(Purchases!M7:M206,"&lt;1")-COUNTBLANK(Purchases!M7:M206)</x:f>
        <x:v>0</x:v>
      </x:c>
      <x:c r="C8" s="28" t="n">
        <x:v>0</x:v>
      </x:c>
      <x:c r="D8" s="28" t="str">
        <x:f>IF(B8&lt;=C8,"OK","REVIEW")</x:f>
        <x:v>OK</x:v>
      </x:c>
      <x:c r="E8" t="str">
        <x:v>Commercial/Finance</x:v>
      </x:c>
      <x:c r="F8" s="25"/>
    </x:row>
    <x:row r="9">
      <x:c r="A9" s="44" t="str">
        <x:v>Purchase rows with cash cover &lt;1.20</x:v>
      </x:c>
      <x:c r="B9" s="28" t="n">
        <x:f>COUNTIF(Purchases!N7:N206,"&lt;1.2")-COUNTBLANK(Purchases!N7:N206)</x:f>
        <x:v>0</x:v>
      </x:c>
      <x:c r="C9" s="28" t="n">
        <x:v>0</x:v>
      </x:c>
      <x:c r="D9" s="28" t="str">
        <x:f>IF(B9&lt;=C9,"OK","REVIEW")</x:f>
        <x:v>OK</x:v>
      </x:c>
      <x:c r="E9" t="str">
        <x:v>Founder/Finance</x:v>
      </x:c>
      <x:c r="F9" s="25"/>
    </x:row>
    <x:row r="10">
      <x:c r="A10" s="44" t="str">
        <x:v>Unreceived claims NPR</x:v>
      </x:c>
      <x:c r="B10" s="28" t="n">
        <x:f>SUM(Claims!O7:O206)</x:f>
        <x:v>0</x:v>
      </x:c>
      <x:c r="C10" s="28" t="n">
        <x:v>0</x:v>
      </x:c>
      <x:c r="D10" s="28" t="str">
        <x:f>IF(B10&lt;=C10,"OK","REVIEW")</x:f>
        <x:v>OK</x:v>
      </x:c>
      <x:c r="E10" t="str">
        <x:v>Finance</x:v>
      </x:c>
      <x:c r="F10" s="25"/>
    </x:row>
    <x:row r="11">
      <x:c r="A11" s="44" t="str">
        <x:v>Overdue open claims</x:v>
      </x:c>
      <x:c r="B11" s="28" t="n">
        <x:f>COUNTIFS(Claims!H7:H206,"&lt;"&amp;TODAY(),Claims!O7:O206,"&gt;0")</x:f>
        <x:v>0</x:v>
      </x:c>
      <x:c r="C11" s="28" t="n">
        <x:v>0</x:v>
      </x:c>
      <x:c r="D11" s="28" t="str">
        <x:f>IF(B11&lt;=C11,"OK","REVIEW")</x:f>
        <x:v>OK</x:v>
      </x:c>
      <x:c r="E11" t="str">
        <x:v>Commercial/Finance</x:v>
      </x:c>
      <x:c r="F11" s="25"/>
    </x:row>
    <x:row r="12">
      <x:c r="A12" s="44" t="str">
        <x:v>Unreceived support NPR</x:v>
      </x:c>
      <x:c r="B12" s="28" t="n">
        <x:f>SUM('Brand Support'!M7:M106)-SUM('Brand Support'!N7:N106)</x:f>
        <x:v>0</x:v>
      </x:c>
      <x:c r="C12" s="28" t="n">
        <x:v>0</x:v>
      </x:c>
      <x:c r="D12" s="28" t="str">
        <x:f>IF(B12&lt;=C12,"OK","REVIEW")</x:f>
        <x:v>OK</x:v>
      </x:c>
      <x:c r="E12" t="str">
        <x:v>Marketing/Finance</x:v>
      </x:c>
      <x:c r="F12" s="25"/>
    </x:row>
    <x:row r="13">
      <x:c r="A13" s="44" t="str">
        <x:v>Open price-protection exposure NPR</x:v>
      </x:c>
      <x:c r="B13" s="28" t="n">
        <x:f>SUM('Price Protection'!M7:M106)</x:f>
        <x:v>0</x:v>
      </x:c>
      <x:c r="C13" s="28" t="n">
        <x:v>0</x:v>
      </x:c>
      <x:c r="D13" s="28" t="str">
        <x:f>IF(B13&lt;=C13,"OK","REVIEW")</x:f>
        <x:v>OK</x:v>
      </x:c>
      <x:c r="E13" t="str">
        <x:v>Commercial</x:v>
      </x:c>
      <x:c r="F13" s="25"/>
    </x:row>
    <x:row r="14">
      <x:c r="A14" s="44" t="str">
        <x:v>Founder approvals missing</x:v>
      </x:c>
      <x:c r="B14" s="28" t="n">
        <x:f>COUNTIF(Purchases!T7:T206,"")-COUNTIF(Purchases!A7:A206,"")</x:f>
        <x:v>0</x:v>
      </x:c>
      <x:c r="C14" s="28" t="n">
        <x:v>0</x:v>
      </x:c>
      <x:c r="D14" s="28" t="str">
        <x:f>IF(B14&lt;=C14,"OK","REVIEW")</x:f>
        <x:v>OK</x:v>
      </x:c>
      <x:c r="E14" t="str">
        <x:v>Founder</x:v>
      </x:c>
      <x:c r="F14" s="25"/>
    </x:row>
  </x:sheetData>
  <x:mergeCells>
    <x:mergeCell ref="A1:F1"/>
    <x:mergeCell ref="A2:F2"/>
  </x:mergeCells>
  <x:conditionalFormatting sqref="D7:D14">
    <x:cfRule type="containsText" dxfId="0" priority="1" operator="containsText" text="OK"/>
    <x:cfRule type="containsText" dxfId="1" priority="2" operator="containsText" text="REVIEW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38" hidden="0" customWidth="1"/>
    <x:col min="4" max="4" width="38" hidden="0" customWidth="1"/>
  </x:cols>
  <x:sheetData>
    <x:row r="1" ht="30" customHeight="1">
      <x:c r="A1" s="14" t="str">
        <x:v>Sources and Evidence Rules</x:v>
      </x:c>
    </x:row>
    <x:row r="2" ht="32" customHeight="1">
      <x:c r="A2" s="17" t="str">
        <x:v>Primary sources define the frame; only dated written partner terms can establish K&amp;S eligibility and economics.</x:v>
      </x:c>
    </x:row>
    <x:row r="6" ht="32" customHeight="1">
      <x:c r="A6" s="22" t="str">
        <x:v>Topic</x:v>
      </x:c>
      <x:c r="B6" s="22" t="str">
        <x:v>Source</x:v>
      </x:c>
      <x:c r="C6" s="22" t="str">
        <x:v>Use</x:v>
      </x:c>
      <x:c r="D6" s="22" t="str">
        <x:v>Limitation</x:v>
      </x:c>
    </x:row>
    <x:row r="7">
      <x:c r="A7" s="10" t="str">
        <x:v>Nepal working capital</x:v>
      </x:c>
      <x:c r="B7" s="10" t="str">
        <x:v>NRB Working Capital Loan Guidelines, consolidated fourth amendment, 2026-03-17</x:v>
      </x:c>
      <x:c r="C7" s="10" t="str">
        <x:v>Facility structure, turnover/operating-cycle and current-asset controls</x:v>
      </x:c>
      <x:c r="D7" s="10" t="str">
        <x:v>Does not establish K&amp;S sanction or price</x:v>
      </x:c>
    </x:row>
    <x:row r="8">
      <x:c r="A8" s="10" t="str">
        <x:v>Overdraft/cash credit</x:v>
      </x:c>
      <x:c r="B8" s="10" t="str">
        <x:v>NRB Working Capital Guidelines FAQ</x:v>
      </x:c>
      <x:c r="C8" s="10" t="str">
        <x:v>Company OD terminology correction; cash-credit use boundary</x:v>
      </x:c>
      <x:c r="D8" s="10" t="str">
        <x:v>Bank product and eligibility remain open</x:v>
      </x:c>
    </x:row>
    <x:row r="9">
      <x:c r="A9" s="10" t="str">
        <x:v>Consignment</x:v>
      </x:c>
      <x:c r="B9" s="10" t="str">
        <x:v>IFRS 15 B77–B78</x:v>
      </x:c>
      <x:c r="C9" s="10" t="str">
        <x:v>Control, return and unconditional-payment indicators</x:v>
      </x:c>
      <x:c r="D9" s="10" t="str">
        <x:v>Nepal contract/tax conclusion requires advisers</x:v>
      </x:c>
    </x:row>
    <x:row r="10">
      <x:c r="A10" s="10" t="str">
        <x:v>Inventory/rebates</x:v>
      </x:c>
      <x:c r="B10" s="10" t="str">
        <x:v>IAS 2 and IFRIC rebate agenda decision</x:v>
      </x:c>
      <x:c r="C10" s="10" t="str">
        <x:v>Inventory cost and rebate classification principles</x:v>
      </x:c>
      <x:c r="D10" s="10" t="str">
        <x:v>K&amp;S accounting classification requires accountant</x:v>
      </x:c>
    </x:row>
    <x:row r="11">
      <x:c r="A11" s="10" t="str">
        <x:v>Nepal accounting</x:v>
      </x:c>
      <x:c r="B11" s="10" t="str">
        <x:v>Accounting Standards Board Nepal NFRS 2018 page</x:v>
      </x:c>
      <x:c r="C11" s="10" t="str">
        <x:v>Current Nepal adoption/effective-standard list</x:v>
      </x:c>
      <x:c r="D11" s="10" t="str">
        <x:v>Full application requires accountant</x:v>
      </x:c>
    </x:row>
    <x:row r="12">
      <x:c r="A12" s="10" t="str">
        <x:v>Nepal VAT</x:v>
      </x:c>
      <x:c r="B12" s="10" t="str">
        <x:v>IRD Value Added Tax Act including Finance Act 2082</x:v>
      </x:c>
      <x:c r="C12" s="10" t="str">
        <x:v>Current statutory source</x:v>
      </x:c>
      <x:c r="D12" s="10" t="str">
        <x:v>Consignment invoice/credit-note flow requires tax advice</x:v>
      </x:c>
    </x:row>
    <x:row r="13">
      <x:c r="A13" s="10" t="str">
        <x:v>Security interests</x:v>
      </x:c>
      <x:c r="B13" s="10" t="str">
        <x:v>Nepal Law Commission Secured Transactions Act, 2063</x:v>
      </x:c>
      <x:c r="C13" s="10" t="str">
        <x:v>Movable/inventory security frame</x:v>
      </x:c>
      <x:c r="D13" s="10" t="str">
        <x:v>Registration/priority requires legal advice</x:v>
      </x:c>
    </x:row>
    <x:row r="14">
      <x:c r="A14" s="10" t="str">
        <x:v>Brand mechanisms</x:v>
      </x:c>
      <x:c r="B14" s="10" t="str">
        <x:v>Dell FY27 terms; HP 2025 policy; Samsung India DOST 2025</x:v>
      </x:c>
      <x:c r="C14" s="10" t="str">
        <x:v>MDF, rebate, demo and retail-training mechanism evidence</x:v>
      </x:c>
      <x:c r="D14" s="10" t="str">
        <x:v>Not Nepal eligibility or K&amp;S terms</x:v>
      </x:c>
    </x:row>
  </x:sheetData>
  <x:mergeCells>
    <x:mergeCell ref="A1:D1"/>
    <x:mergeCell ref="A2:D2"/>
  </x:mergeCells>
  <x:pageMargins left="0.7" right="0.7" top="0.75" bottom="0.75" header="0.3" footer="0.3"/>
</x:worksheet>
</file>